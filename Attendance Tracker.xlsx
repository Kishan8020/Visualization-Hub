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Kishan\Data Analytics\My Projects\Excel\"/>
    </mc:Choice>
  </mc:AlternateContent>
  <bookViews>
    <workbookView xWindow="0" yWindow="0" windowWidth="24467" windowHeight="997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0" i="1" l="1"/>
  <c r="AK10" i="1"/>
  <c r="AL10" i="1"/>
  <c r="AJ11" i="1"/>
  <c r="AK11" i="1"/>
  <c r="AL11" i="1"/>
  <c r="AJ12" i="1"/>
  <c r="AK12" i="1"/>
  <c r="AL12" i="1"/>
  <c r="AJ13" i="1"/>
  <c r="AK13" i="1"/>
  <c r="AL13" i="1"/>
  <c r="AJ14" i="1"/>
  <c r="AK14" i="1"/>
  <c r="AL14" i="1"/>
  <c r="AJ15" i="1"/>
  <c r="AK15" i="1"/>
  <c r="AL15" i="1"/>
  <c r="AJ16" i="1"/>
  <c r="AK16" i="1"/>
  <c r="AL16" i="1"/>
  <c r="AJ17" i="1"/>
  <c r="AK17" i="1"/>
  <c r="AL17" i="1"/>
  <c r="AJ18" i="1"/>
  <c r="AK18" i="1"/>
  <c r="AL18" i="1"/>
  <c r="AJ19" i="1"/>
  <c r="AK19" i="1"/>
  <c r="AL19" i="1"/>
  <c r="AJ20" i="1"/>
  <c r="AK20" i="1"/>
  <c r="AL20" i="1"/>
  <c r="AJ21" i="1"/>
  <c r="AK21" i="1"/>
  <c r="AL21" i="1"/>
  <c r="AJ22" i="1"/>
  <c r="AK22" i="1"/>
  <c r="AL22" i="1"/>
  <c r="AJ23" i="1"/>
  <c r="AK23" i="1"/>
  <c r="AL23" i="1"/>
  <c r="AJ24" i="1"/>
  <c r="AK24" i="1"/>
  <c r="AL24" i="1"/>
  <c r="AJ25" i="1"/>
  <c r="AK25" i="1"/>
  <c r="AL25" i="1"/>
  <c r="AJ26" i="1"/>
  <c r="AK26" i="1"/>
  <c r="AL26" i="1"/>
  <c r="AJ27" i="1"/>
  <c r="AK27" i="1"/>
  <c r="AL27" i="1"/>
  <c r="AJ28" i="1"/>
  <c r="AK28" i="1"/>
  <c r="AL28" i="1"/>
  <c r="AJ29" i="1"/>
  <c r="AK29" i="1"/>
  <c r="AL29" i="1"/>
  <c r="AJ30" i="1"/>
  <c r="AK30" i="1"/>
  <c r="AL30" i="1"/>
  <c r="AJ31" i="1"/>
  <c r="AK31" i="1"/>
  <c r="AL31" i="1"/>
  <c r="AJ32" i="1"/>
  <c r="AK32" i="1"/>
  <c r="AL32" i="1"/>
  <c r="AJ33" i="1"/>
  <c r="AK33" i="1"/>
  <c r="AL33" i="1"/>
  <c r="AJ34" i="1"/>
  <c r="AK34" i="1"/>
  <c r="AL34" i="1"/>
  <c r="AJ35" i="1"/>
  <c r="AK35" i="1"/>
  <c r="AL35" i="1"/>
  <c r="AJ36" i="1"/>
  <c r="AK36" i="1"/>
  <c r="AL36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M23" i="1" l="1"/>
  <c r="AM11" i="1"/>
  <c r="AM18" i="1"/>
  <c r="AM27" i="1"/>
  <c r="AM15" i="1"/>
  <c r="AM31" i="1"/>
  <c r="AM25" i="1"/>
  <c r="AM19" i="1"/>
  <c r="AM13" i="1"/>
  <c r="AM10" i="1"/>
  <c r="AM36" i="1"/>
  <c r="AM24" i="1"/>
  <c r="AM12" i="1"/>
  <c r="AM34" i="1"/>
  <c r="AM28" i="1"/>
  <c r="AM22" i="1"/>
  <c r="AM16" i="1"/>
  <c r="AM30" i="1"/>
  <c r="AM21" i="1"/>
  <c r="AM32" i="1"/>
  <c r="AM26" i="1"/>
  <c r="AM20" i="1"/>
  <c r="AM17" i="1"/>
  <c r="AM14" i="1"/>
  <c r="AM33" i="1"/>
  <c r="AM35" i="1"/>
  <c r="AM29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M2" i="1"/>
  <c r="AJ8" i="1"/>
  <c r="AK8" i="1"/>
  <c r="AL8" i="1"/>
  <c r="AJ9" i="1"/>
  <c r="AK9" i="1"/>
  <c r="AL9" i="1"/>
  <c r="AL7" i="1"/>
  <c r="AK7" i="1"/>
  <c r="AJ7" i="1"/>
  <c r="D2" i="1" s="1"/>
  <c r="C2" i="1" l="1"/>
  <c r="AP7" i="1"/>
  <c r="AP13" i="1"/>
  <c r="AP8" i="1"/>
  <c r="AP11" i="1"/>
  <c r="AP9" i="1"/>
  <c r="AP12" i="1"/>
  <c r="AP10" i="1"/>
  <c r="AM8" i="1" l="1"/>
  <c r="AM9" i="1"/>
  <c r="AM7" i="1"/>
</calcChain>
</file>

<file path=xl/sharedStrings.xml><?xml version="1.0" encoding="utf-8"?>
<sst xmlns="http://schemas.openxmlformats.org/spreadsheetml/2006/main" count="980" uniqueCount="55">
  <si>
    <t>System no.</t>
  </si>
  <si>
    <t>Name</t>
  </si>
  <si>
    <t>Roll No</t>
  </si>
  <si>
    <t>Total Presents</t>
  </si>
  <si>
    <t>Joe</t>
  </si>
  <si>
    <t>P</t>
  </si>
  <si>
    <t>Total Absents</t>
  </si>
  <si>
    <t>Total leaves</t>
  </si>
  <si>
    <t>Year</t>
  </si>
  <si>
    <t>Month</t>
  </si>
  <si>
    <t>A</t>
  </si>
  <si>
    <t>L</t>
  </si>
  <si>
    <t>Sr No.</t>
  </si>
  <si>
    <t>Monika</t>
  </si>
  <si>
    <t>Ross</t>
  </si>
  <si>
    <t>Sun</t>
  </si>
  <si>
    <t>Mon</t>
  </si>
  <si>
    <t>Tue</t>
  </si>
  <si>
    <t>Wed</t>
  </si>
  <si>
    <t>Thu</t>
  </si>
  <si>
    <t>Fri</t>
  </si>
  <si>
    <t>Sat</t>
  </si>
  <si>
    <t>Weekly Presents</t>
  </si>
  <si>
    <t>Tony</t>
  </si>
  <si>
    <t>Chandler</t>
  </si>
  <si>
    <t>Alan</t>
  </si>
  <si>
    <t>Mark</t>
  </si>
  <si>
    <t>Dwayne John</t>
  </si>
  <si>
    <t>Natasha</t>
  </si>
  <si>
    <t>Rubi</t>
  </si>
  <si>
    <t>Peter</t>
  </si>
  <si>
    <t>Mike</t>
  </si>
  <si>
    <t>Rachel</t>
  </si>
  <si>
    <t>Presents 
Week No.</t>
  </si>
  <si>
    <t>Snow</t>
  </si>
  <si>
    <t>Samwell</t>
  </si>
  <si>
    <t>Tyrion</t>
  </si>
  <si>
    <t>Ned</t>
  </si>
  <si>
    <t>Lena</t>
  </si>
  <si>
    <t>Emilia</t>
  </si>
  <si>
    <t>Alex</t>
  </si>
  <si>
    <t>Daniel</t>
  </si>
  <si>
    <t>Brian</t>
  </si>
  <si>
    <t>David</t>
  </si>
  <si>
    <t>Jack</t>
  </si>
  <si>
    <t>Michelle</t>
  </si>
  <si>
    <t>Venessa</t>
  </si>
  <si>
    <t>Allen</t>
  </si>
  <si>
    <t>Jerome</t>
  </si>
  <si>
    <t>Kristofer</t>
  </si>
  <si>
    <t>Julian</t>
  </si>
  <si>
    <t>W</t>
  </si>
  <si>
    <t>H</t>
  </si>
  <si>
    <t>Total Days</t>
  </si>
  <si>
    <t>Monthly 
Presents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</si>
</sst>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A228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93D2"/>
        <bgColor indexed="64"/>
      </patternFill>
    </fill>
    <fill>
      <patternFill patternType="solid">
        <fgColor rgb="FFD68A9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/>
    <xf numFmtId="0" fontId="2" fillId="0" borderId="0" xfId="0" applyFont="1"/>
    <xf numFmtId="0" fontId="0" fillId="0" borderId="0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1" applyFont="1"/>
    <xf numFmtId="0" fontId="1" fillId="0" borderId="7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" xfId="0" applyNumberFormat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9" fontId="0" fillId="0" borderId="7" xfId="1" applyFont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1" fontId="6" fillId="6" borderId="11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" fontId="6" fillId="6" borderId="6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7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8" tint="-0.24994659260841701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68A97"/>
      <color rgb="FF71CDCD"/>
      <color rgb="FF7093D2"/>
      <color rgb="FFF58FA5"/>
      <color rgb="FFAA22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36"/>
  <sheetViews>
    <sheetView showGridLines="0" tabSelected="1" zoomScaleNormal="100" workbookViewId="0">
      <selection activeCell="M3" sqref="M3"/>
    </sheetView>
  </sheetViews>
  <sheetFormatPr defaultRowHeight="14.65" outlineLevelCol="1" x14ac:dyDescent="0.3"/>
  <cols>
    <col min="1" max="1" width="5.44140625" customWidth="1"/>
    <col min="2" max="2" width="10.6640625" customWidth="1"/>
    <col min="3" max="3" width="8.77734375" style="3" customWidth="1"/>
    <col min="4" max="4" width="10.109375" customWidth="1"/>
    <col min="5" max="5" width="4.21875" style="6" bestFit="1" customWidth="1"/>
    <col min="6" max="6" width="4.88671875" style="6" bestFit="1" customWidth="1"/>
    <col min="7" max="7" width="4.21875" style="6" bestFit="1" customWidth="1"/>
    <col min="8" max="8" width="5" style="6" bestFit="1" customWidth="1"/>
    <col min="9" max="9" width="4.21875" style="6" bestFit="1" customWidth="1"/>
    <col min="10" max="10" width="3.33203125" style="6" bestFit="1" customWidth="1"/>
    <col min="11" max="11" width="3.77734375" style="6" bestFit="1" customWidth="1"/>
    <col min="12" max="12" width="4.21875" style="6" bestFit="1" customWidth="1"/>
    <col min="13" max="13" width="4.88671875" style="6" bestFit="1" customWidth="1"/>
    <col min="14" max="14" width="4.21875" style="6" bestFit="1" customWidth="1"/>
    <col min="15" max="15" width="5" style="6" bestFit="1" customWidth="1"/>
    <col min="16" max="16" width="4.21875" style="6" bestFit="1" customWidth="1"/>
    <col min="17" max="17" width="3.33203125" style="6" hidden="1" customWidth="1" outlineLevel="1"/>
    <col min="18" max="18" width="3.77734375" style="6" hidden="1" customWidth="1" outlineLevel="1"/>
    <col min="19" max="19" width="4.21875" style="6" hidden="1" customWidth="1" outlineLevel="1"/>
    <col min="20" max="20" width="4.88671875" style="6" hidden="1" customWidth="1" outlineLevel="1"/>
    <col min="21" max="21" width="4.21875" style="6" hidden="1" customWidth="1" outlineLevel="1"/>
    <col min="22" max="22" width="5" style="6" hidden="1" customWidth="1" outlineLevel="1"/>
    <col min="23" max="23" width="4.21875" style="6" hidden="1" customWidth="1" outlineLevel="1"/>
    <col min="24" max="24" width="3.33203125" style="6" hidden="1" customWidth="1" outlineLevel="1"/>
    <col min="25" max="25" width="3.77734375" style="6" hidden="1" customWidth="1" outlineLevel="1"/>
    <col min="26" max="26" width="4.21875" style="6" hidden="1" customWidth="1" outlineLevel="1"/>
    <col min="27" max="27" width="4.88671875" style="6" hidden="1" customWidth="1" outlineLevel="1"/>
    <col min="28" max="28" width="4.21875" style="6" hidden="1" customWidth="1" outlineLevel="1"/>
    <col min="29" max="29" width="5" style="6" hidden="1" customWidth="1" outlineLevel="1"/>
    <col min="30" max="30" width="4.21875" style="6" hidden="1" customWidth="1" outlineLevel="1"/>
    <col min="31" max="31" width="3.33203125" style="6" hidden="1" customWidth="1" outlineLevel="1"/>
    <col min="32" max="32" width="3.77734375" style="6" hidden="1" customWidth="1" outlineLevel="1"/>
    <col min="33" max="33" width="4.21875" style="6" hidden="1" customWidth="1" outlineLevel="1"/>
    <col min="34" max="34" width="4.88671875" style="6" hidden="1" customWidth="1" outlineLevel="1"/>
    <col min="35" max="35" width="4.21875" style="6" hidden="1" customWidth="1" outlineLevel="1"/>
    <col min="36" max="36" width="13.77734375" style="2" bestFit="1" customWidth="1" collapsed="1"/>
    <col min="37" max="37" width="13.21875" style="2" bestFit="1" customWidth="1"/>
    <col min="38" max="38" width="11.5546875" style="2" bestFit="1" customWidth="1"/>
    <col min="39" max="39" width="15" style="2" bestFit="1" customWidth="1"/>
    <col min="40" max="40" width="8.44140625" customWidth="1"/>
    <col min="41" max="41" width="9" customWidth="1"/>
    <col min="42" max="42" width="6.6640625" style="19" customWidth="1"/>
    <col min="43" max="43" width="10.6640625" bestFit="1" customWidth="1"/>
  </cols>
  <sheetData>
    <row r="1" spans="1:43" ht="31.9" x14ac:dyDescent="0.3">
      <c r="A1" s="28" t="s">
        <v>8</v>
      </c>
      <c r="B1" s="32" t="s">
        <v>9</v>
      </c>
      <c r="C1" s="34" t="s">
        <v>54</v>
      </c>
      <c r="D1" s="29" t="s">
        <v>53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/>
      <c r="AK1"/>
      <c r="AL1"/>
      <c r="AM1"/>
    </row>
    <row r="2" spans="1:43" ht="15.95" x14ac:dyDescent="0.3">
      <c r="A2" s="30">
        <v>2024</v>
      </c>
      <c r="B2" s="33">
        <v>12</v>
      </c>
      <c r="C2" s="33">
        <f>SUM(AJ:AJ)</f>
        <v>686</v>
      </c>
      <c r="D2" s="31">
        <f>SUM(AJ7:AL7)</f>
        <v>25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/>
      <c r="AK2"/>
      <c r="AL2"/>
      <c r="AM2" s="11" t="str">
        <f>TEXT(DATE(2024,1,1)+($AM$6-1)*7-WEEKDAY(DATE(2024,1,1),2)+1, "DD-MMM")&amp;" "&amp;"To"&amp;" "&amp;TEXT(DATE(2024,1,1)+($AM$6-1)*7-WEEKDAY(DATE(2024,1,1),2)+7, "DD-MMM")</f>
        <v>09-Dec To 15-Dec</v>
      </c>
    </row>
    <row r="3" spans="1:43" ht="31.9" x14ac:dyDescent="0.3">
      <c r="C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/>
      <c r="AK3"/>
      <c r="AL3"/>
      <c r="AM3" s="26" t="s">
        <v>33</v>
      </c>
    </row>
    <row r="4" spans="1:43" hidden="1" x14ac:dyDescent="0.3">
      <c r="A4" s="4"/>
      <c r="B4" s="4"/>
      <c r="C4" s="4"/>
      <c r="D4" s="4"/>
      <c r="E4" s="5" t="str">
        <f t="shared" ref="E4:AI4" si="0">TEXT(E$6,"ddd")</f>
        <v>Sun</v>
      </c>
      <c r="F4" s="5" t="str">
        <f t="shared" si="0"/>
        <v>Mon</v>
      </c>
      <c r="G4" s="5" t="str">
        <f t="shared" si="0"/>
        <v>Tue</v>
      </c>
      <c r="H4" s="5" t="str">
        <f t="shared" si="0"/>
        <v>Wed</v>
      </c>
      <c r="I4" s="5" t="str">
        <f t="shared" si="0"/>
        <v>Thu</v>
      </c>
      <c r="J4" s="5" t="str">
        <f t="shared" si="0"/>
        <v>Fri</v>
      </c>
      <c r="K4" s="5" t="str">
        <f t="shared" si="0"/>
        <v>Sat</v>
      </c>
      <c r="L4" s="5" t="str">
        <f t="shared" si="0"/>
        <v>Sun</v>
      </c>
      <c r="M4" s="5" t="str">
        <f t="shared" si="0"/>
        <v>Mon</v>
      </c>
      <c r="N4" s="5" t="str">
        <f t="shared" si="0"/>
        <v>Tue</v>
      </c>
      <c r="O4" s="5" t="str">
        <f t="shared" si="0"/>
        <v>Wed</v>
      </c>
      <c r="P4" s="5" t="str">
        <f t="shared" si="0"/>
        <v>Thu</v>
      </c>
      <c r="Q4" s="5" t="str">
        <f t="shared" si="0"/>
        <v>Fri</v>
      </c>
      <c r="R4" s="5" t="str">
        <f t="shared" si="0"/>
        <v>Sat</v>
      </c>
      <c r="S4" s="5" t="str">
        <f t="shared" si="0"/>
        <v>Sun</v>
      </c>
      <c r="T4" s="5" t="str">
        <f t="shared" si="0"/>
        <v>Mon</v>
      </c>
      <c r="U4" s="5" t="str">
        <f t="shared" si="0"/>
        <v>Tue</v>
      </c>
      <c r="V4" s="5" t="str">
        <f t="shared" si="0"/>
        <v>Wed</v>
      </c>
      <c r="W4" s="5" t="str">
        <f t="shared" si="0"/>
        <v>Thu</v>
      </c>
      <c r="X4" s="5" t="str">
        <f t="shared" si="0"/>
        <v>Fri</v>
      </c>
      <c r="Y4" s="5" t="str">
        <f t="shared" si="0"/>
        <v>Sat</v>
      </c>
      <c r="Z4" s="5" t="str">
        <f t="shared" si="0"/>
        <v>Sun</v>
      </c>
      <c r="AA4" s="5" t="str">
        <f t="shared" si="0"/>
        <v>Mon</v>
      </c>
      <c r="AB4" s="5" t="str">
        <f t="shared" si="0"/>
        <v>Tue</v>
      </c>
      <c r="AC4" s="5" t="str">
        <f t="shared" si="0"/>
        <v>Wed</v>
      </c>
      <c r="AD4" s="5" t="str">
        <f t="shared" si="0"/>
        <v>Thu</v>
      </c>
      <c r="AE4" s="5" t="str">
        <f t="shared" si="0"/>
        <v>Fri</v>
      </c>
      <c r="AF4" s="5" t="str">
        <f t="shared" si="0"/>
        <v>Sat</v>
      </c>
      <c r="AG4" s="5" t="str">
        <f t="shared" si="0"/>
        <v>Sun</v>
      </c>
      <c r="AH4" s="5" t="str">
        <f t="shared" si="0"/>
        <v>Mon</v>
      </c>
      <c r="AI4" s="5" t="str">
        <f t="shared" si="0"/>
        <v>Tue</v>
      </c>
      <c r="AJ4" s="4"/>
      <c r="AK4" s="4"/>
      <c r="AL4" s="4"/>
      <c r="AM4" s="22"/>
      <c r="AN4" s="1"/>
    </row>
    <row r="5" spans="1:43" ht="18" hidden="1" customHeight="1" x14ac:dyDescent="0.3">
      <c r="A5" s="4"/>
      <c r="B5" s="4"/>
      <c r="C5" s="4"/>
      <c r="D5" s="4"/>
      <c r="E5" s="6">
        <f t="shared" ref="E5:AI5" si="1">WEEKNUM(E$6,1)</f>
        <v>49</v>
      </c>
      <c r="F5" s="6">
        <f t="shared" si="1"/>
        <v>49</v>
      </c>
      <c r="G5" s="6">
        <f t="shared" si="1"/>
        <v>49</v>
      </c>
      <c r="H5" s="6">
        <f t="shared" si="1"/>
        <v>49</v>
      </c>
      <c r="I5" s="6">
        <f t="shared" si="1"/>
        <v>49</v>
      </c>
      <c r="J5" s="6">
        <f t="shared" si="1"/>
        <v>49</v>
      </c>
      <c r="K5" s="6">
        <f t="shared" si="1"/>
        <v>49</v>
      </c>
      <c r="L5" s="6">
        <f t="shared" si="1"/>
        <v>50</v>
      </c>
      <c r="M5" s="6">
        <f t="shared" si="1"/>
        <v>50</v>
      </c>
      <c r="N5" s="6">
        <f t="shared" si="1"/>
        <v>50</v>
      </c>
      <c r="O5" s="6">
        <f t="shared" si="1"/>
        <v>50</v>
      </c>
      <c r="P5" s="6">
        <f t="shared" si="1"/>
        <v>50</v>
      </c>
      <c r="Q5" s="6">
        <f t="shared" si="1"/>
        <v>50</v>
      </c>
      <c r="R5" s="6">
        <f t="shared" si="1"/>
        <v>50</v>
      </c>
      <c r="S5" s="6">
        <f t="shared" si="1"/>
        <v>51</v>
      </c>
      <c r="T5" s="6">
        <f t="shared" si="1"/>
        <v>51</v>
      </c>
      <c r="U5" s="6">
        <f t="shared" si="1"/>
        <v>51</v>
      </c>
      <c r="V5" s="6">
        <f t="shared" si="1"/>
        <v>51</v>
      </c>
      <c r="W5" s="6">
        <f t="shared" si="1"/>
        <v>51</v>
      </c>
      <c r="X5" s="6">
        <f t="shared" si="1"/>
        <v>51</v>
      </c>
      <c r="Y5" s="6">
        <f t="shared" si="1"/>
        <v>51</v>
      </c>
      <c r="Z5" s="6">
        <f t="shared" si="1"/>
        <v>52</v>
      </c>
      <c r="AA5" s="6">
        <f t="shared" si="1"/>
        <v>52</v>
      </c>
      <c r="AB5" s="6">
        <f t="shared" si="1"/>
        <v>52</v>
      </c>
      <c r="AC5" s="6">
        <f t="shared" si="1"/>
        <v>52</v>
      </c>
      <c r="AD5" s="6">
        <f t="shared" si="1"/>
        <v>52</v>
      </c>
      <c r="AE5" s="6">
        <f t="shared" si="1"/>
        <v>52</v>
      </c>
      <c r="AF5" s="6">
        <f t="shared" si="1"/>
        <v>52</v>
      </c>
      <c r="AG5" s="6">
        <f t="shared" si="1"/>
        <v>53</v>
      </c>
      <c r="AH5" s="6">
        <f t="shared" si="1"/>
        <v>53</v>
      </c>
      <c r="AI5" s="6">
        <f t="shared" si="1"/>
        <v>53</v>
      </c>
      <c r="AJ5" s="4"/>
      <c r="AK5" s="4"/>
      <c r="AL5" s="4"/>
      <c r="AM5" s="14"/>
      <c r="AN5" s="3"/>
    </row>
    <row r="6" spans="1:43" s="8" customFormat="1" ht="15.95" x14ac:dyDescent="0.3">
      <c r="A6" s="10" t="s">
        <v>12</v>
      </c>
      <c r="B6" s="10" t="s">
        <v>0</v>
      </c>
      <c r="C6" s="10" t="s">
        <v>1</v>
      </c>
      <c r="D6" s="10" t="s">
        <v>2</v>
      </c>
      <c r="E6" s="13">
        <v>45627</v>
      </c>
      <c r="F6" s="13">
        <v>45628</v>
      </c>
      <c r="G6" s="13">
        <v>45629</v>
      </c>
      <c r="H6" s="13">
        <v>45630</v>
      </c>
      <c r="I6" s="13">
        <v>45631</v>
      </c>
      <c r="J6" s="13">
        <v>45632</v>
      </c>
      <c r="K6" s="13">
        <v>45633</v>
      </c>
      <c r="L6" s="13">
        <v>45634</v>
      </c>
      <c r="M6" s="13">
        <v>45635</v>
      </c>
      <c r="N6" s="13">
        <v>45636</v>
      </c>
      <c r="O6" s="13">
        <v>45637</v>
      </c>
      <c r="P6" s="13">
        <v>45638</v>
      </c>
      <c r="Q6" s="13">
        <v>45639</v>
      </c>
      <c r="R6" s="13">
        <v>45640</v>
      </c>
      <c r="S6" s="13">
        <v>45641</v>
      </c>
      <c r="T6" s="13">
        <v>45642</v>
      </c>
      <c r="U6" s="13">
        <v>45643</v>
      </c>
      <c r="V6" s="13">
        <v>45644</v>
      </c>
      <c r="W6" s="13">
        <v>45645</v>
      </c>
      <c r="X6" s="13">
        <v>45646</v>
      </c>
      <c r="Y6" s="13">
        <v>45647</v>
      </c>
      <c r="Z6" s="13">
        <v>45648</v>
      </c>
      <c r="AA6" s="13">
        <v>45649</v>
      </c>
      <c r="AB6" s="13">
        <v>45650</v>
      </c>
      <c r="AC6" s="13">
        <v>45651</v>
      </c>
      <c r="AD6" s="13">
        <v>45652</v>
      </c>
      <c r="AE6" s="13">
        <v>45653</v>
      </c>
      <c r="AF6" s="13">
        <v>45654</v>
      </c>
      <c r="AG6" s="13">
        <v>45655</v>
      </c>
      <c r="AH6" s="13">
        <v>45656</v>
      </c>
      <c r="AI6" s="13">
        <v>45657</v>
      </c>
      <c r="AJ6" s="15" t="s">
        <v>3</v>
      </c>
      <c r="AK6" s="15" t="s">
        <v>6</v>
      </c>
      <c r="AL6" s="16" t="s">
        <v>7</v>
      </c>
      <c r="AM6" s="17">
        <v>50</v>
      </c>
      <c r="AN6" s="7"/>
      <c r="AO6" s="35" t="s">
        <v>22</v>
      </c>
      <c r="AP6" s="35"/>
    </row>
    <row r="7" spans="1:43" x14ac:dyDescent="0.3">
      <c r="A7" s="9">
        <v>1</v>
      </c>
      <c r="B7" s="9">
        <v>455</v>
      </c>
      <c r="C7" s="21" t="s">
        <v>4</v>
      </c>
      <c r="D7" s="9">
        <v>12</v>
      </c>
      <c r="E7" s="12" t="s">
        <v>51</v>
      </c>
      <c r="F7" s="12" t="s">
        <v>5</v>
      </c>
      <c r="G7" s="12" t="s">
        <v>5</v>
      </c>
      <c r="H7" s="12" t="s">
        <v>5</v>
      </c>
      <c r="I7" s="12" t="s">
        <v>11</v>
      </c>
      <c r="J7" s="12" t="s">
        <v>5</v>
      </c>
      <c r="K7" s="12" t="s">
        <v>10</v>
      </c>
      <c r="L7" s="12" t="s">
        <v>51</v>
      </c>
      <c r="M7" s="12" t="s">
        <v>5</v>
      </c>
      <c r="N7" s="12" t="s">
        <v>52</v>
      </c>
      <c r="O7" s="12" t="s">
        <v>5</v>
      </c>
      <c r="P7" s="12" t="s">
        <v>5</v>
      </c>
      <c r="Q7" s="12" t="s">
        <v>5</v>
      </c>
      <c r="R7" s="12" t="s">
        <v>11</v>
      </c>
      <c r="S7" s="12" t="s">
        <v>51</v>
      </c>
      <c r="T7" s="12" t="s">
        <v>5</v>
      </c>
      <c r="U7" s="12" t="s">
        <v>10</v>
      </c>
      <c r="V7" s="12" t="s">
        <v>5</v>
      </c>
      <c r="W7" s="12" t="s">
        <v>5</v>
      </c>
      <c r="X7" s="12" t="s">
        <v>5</v>
      </c>
      <c r="Y7" s="12" t="s">
        <v>5</v>
      </c>
      <c r="Z7" s="12" t="s">
        <v>51</v>
      </c>
      <c r="AA7" s="12" t="s">
        <v>5</v>
      </c>
      <c r="AB7" s="12" t="s">
        <v>5</v>
      </c>
      <c r="AC7" s="12" t="s">
        <v>10</v>
      </c>
      <c r="AD7" s="12" t="s">
        <v>5</v>
      </c>
      <c r="AE7" s="12" t="s">
        <v>10</v>
      </c>
      <c r="AF7" s="12" t="s">
        <v>5</v>
      </c>
      <c r="AG7" s="12" t="s">
        <v>51</v>
      </c>
      <c r="AH7" s="12" t="s">
        <v>5</v>
      </c>
      <c r="AI7" s="12" t="s">
        <v>5</v>
      </c>
      <c r="AJ7" s="12">
        <f>COUNTIF($E7:$AI7,"P")</f>
        <v>19</v>
      </c>
      <c r="AK7" s="12">
        <f>COUNTIF($E7:$AI7,"A")</f>
        <v>4</v>
      </c>
      <c r="AL7" s="12">
        <f>COUNTIF($E7:$AI7,"L")</f>
        <v>2</v>
      </c>
      <c r="AM7" s="12">
        <f t="shared" ref="AM7:AM36" si="2">SUMPRODUCT(($E$5:$AI$5=$AM$6)*($E7:$AI7="P"))</f>
        <v>4</v>
      </c>
      <c r="AO7" s="20" t="s">
        <v>16</v>
      </c>
      <c r="AP7" s="27">
        <f t="shared" ref="AP7:AP13" si="3">SUMPRODUCT(($E$4:$AI$4=$AO7)*($E$7:$AI$36="P"))/$C$2</f>
        <v>0.20408163265306123</v>
      </c>
      <c r="AQ7" s="19"/>
    </row>
    <row r="8" spans="1:43" x14ac:dyDescent="0.3">
      <c r="A8" s="9">
        <v>2</v>
      </c>
      <c r="B8" s="9">
        <v>545</v>
      </c>
      <c r="C8" s="21" t="s">
        <v>13</v>
      </c>
      <c r="D8" s="9">
        <v>15</v>
      </c>
      <c r="E8" s="12" t="s">
        <v>51</v>
      </c>
      <c r="F8" s="12" t="s">
        <v>11</v>
      </c>
      <c r="G8" s="12" t="s">
        <v>10</v>
      </c>
      <c r="H8" s="12" t="s">
        <v>5</v>
      </c>
      <c r="I8" s="12" t="s">
        <v>5</v>
      </c>
      <c r="J8" s="12" t="s">
        <v>5</v>
      </c>
      <c r="K8" s="12" t="s">
        <v>5</v>
      </c>
      <c r="L8" s="12" t="s">
        <v>51</v>
      </c>
      <c r="M8" s="12" t="s">
        <v>5</v>
      </c>
      <c r="N8" s="12" t="s">
        <v>52</v>
      </c>
      <c r="O8" s="12" t="s">
        <v>5</v>
      </c>
      <c r="P8" s="12" t="s">
        <v>5</v>
      </c>
      <c r="Q8" s="12" t="s">
        <v>11</v>
      </c>
      <c r="R8" s="12" t="s">
        <v>5</v>
      </c>
      <c r="S8" s="12" t="s">
        <v>51</v>
      </c>
      <c r="T8" s="12" t="s">
        <v>5</v>
      </c>
      <c r="U8" s="12" t="s">
        <v>5</v>
      </c>
      <c r="V8" s="12" t="s">
        <v>5</v>
      </c>
      <c r="W8" s="12" t="s">
        <v>5</v>
      </c>
      <c r="X8" s="12" t="s">
        <v>5</v>
      </c>
      <c r="Y8" s="12" t="s">
        <v>11</v>
      </c>
      <c r="Z8" s="12" t="s">
        <v>51</v>
      </c>
      <c r="AA8" s="12" t="s">
        <v>5</v>
      </c>
      <c r="AB8" s="12" t="s">
        <v>5</v>
      </c>
      <c r="AC8" s="12" t="s">
        <v>5</v>
      </c>
      <c r="AD8" s="12" t="s">
        <v>11</v>
      </c>
      <c r="AE8" s="12" t="s">
        <v>5</v>
      </c>
      <c r="AF8" s="12" t="s">
        <v>5</v>
      </c>
      <c r="AG8" s="12" t="s">
        <v>51</v>
      </c>
      <c r="AH8" s="12" t="s">
        <v>5</v>
      </c>
      <c r="AI8" s="12" t="s">
        <v>5</v>
      </c>
      <c r="AJ8" s="12">
        <f t="shared" ref="AJ8:AJ36" si="4">COUNTIF($E8:$AI8,"P")</f>
        <v>20</v>
      </c>
      <c r="AK8" s="12">
        <f t="shared" ref="AK8:AK36" si="5">COUNTIF($E8:$AI8,"A")</f>
        <v>1</v>
      </c>
      <c r="AL8" s="12">
        <f t="shared" ref="AL8:AL36" si="6">COUNTIF($E8:$AI8,"L")</f>
        <v>4</v>
      </c>
      <c r="AM8" s="12">
        <f t="shared" si="2"/>
        <v>4</v>
      </c>
      <c r="AO8" s="20" t="s">
        <v>17</v>
      </c>
      <c r="AP8" s="27">
        <f t="shared" si="3"/>
        <v>0.16034985422740525</v>
      </c>
      <c r="AQ8" s="19"/>
    </row>
    <row r="9" spans="1:43" x14ac:dyDescent="0.3">
      <c r="A9" s="9">
        <v>3</v>
      </c>
      <c r="B9" s="9">
        <v>879</v>
      </c>
      <c r="C9" s="21" t="s">
        <v>14</v>
      </c>
      <c r="D9" s="9">
        <v>17</v>
      </c>
      <c r="E9" s="12" t="s">
        <v>51</v>
      </c>
      <c r="F9" s="12" t="s">
        <v>10</v>
      </c>
      <c r="G9" s="12" t="s">
        <v>5</v>
      </c>
      <c r="H9" s="12" t="s">
        <v>5</v>
      </c>
      <c r="I9" s="12" t="s">
        <v>5</v>
      </c>
      <c r="J9" s="12" t="s">
        <v>10</v>
      </c>
      <c r="K9" s="12" t="s">
        <v>5</v>
      </c>
      <c r="L9" s="12" t="s">
        <v>51</v>
      </c>
      <c r="M9" s="12" t="s">
        <v>5</v>
      </c>
      <c r="N9" s="12" t="s">
        <v>52</v>
      </c>
      <c r="O9" s="12" t="s">
        <v>5</v>
      </c>
      <c r="P9" s="12" t="s">
        <v>5</v>
      </c>
      <c r="Q9" s="12" t="s">
        <v>5</v>
      </c>
      <c r="R9" s="12" t="s">
        <v>5</v>
      </c>
      <c r="S9" s="12" t="s">
        <v>51</v>
      </c>
      <c r="T9" s="12" t="s">
        <v>5</v>
      </c>
      <c r="U9" s="12" t="s">
        <v>5</v>
      </c>
      <c r="V9" s="12" t="s">
        <v>10</v>
      </c>
      <c r="W9" s="12" t="s">
        <v>5</v>
      </c>
      <c r="X9" s="12" t="s">
        <v>11</v>
      </c>
      <c r="Y9" s="12" t="s">
        <v>5</v>
      </c>
      <c r="Z9" s="12" t="s">
        <v>51</v>
      </c>
      <c r="AA9" s="12" t="s">
        <v>5</v>
      </c>
      <c r="AB9" s="12" t="s">
        <v>5</v>
      </c>
      <c r="AC9" s="12" t="s">
        <v>5</v>
      </c>
      <c r="AD9" s="12" t="s">
        <v>5</v>
      </c>
      <c r="AE9" s="12" t="s">
        <v>5</v>
      </c>
      <c r="AF9" s="12" t="s">
        <v>10</v>
      </c>
      <c r="AG9" s="12" t="s">
        <v>51</v>
      </c>
      <c r="AH9" s="12" t="s">
        <v>11</v>
      </c>
      <c r="AI9" s="12" t="s">
        <v>5</v>
      </c>
      <c r="AJ9" s="12">
        <f t="shared" si="4"/>
        <v>19</v>
      </c>
      <c r="AK9" s="12">
        <f t="shared" si="5"/>
        <v>4</v>
      </c>
      <c r="AL9" s="12">
        <f t="shared" si="6"/>
        <v>2</v>
      </c>
      <c r="AM9" s="12">
        <f t="shared" si="2"/>
        <v>5</v>
      </c>
      <c r="AO9" s="20" t="s">
        <v>18</v>
      </c>
      <c r="AP9" s="27">
        <f t="shared" si="3"/>
        <v>0.16034985422740525</v>
      </c>
      <c r="AQ9" s="19"/>
    </row>
    <row r="10" spans="1:43" x14ac:dyDescent="0.3">
      <c r="A10" s="9">
        <v>4</v>
      </c>
      <c r="B10" s="4">
        <v>352</v>
      </c>
      <c r="C10" s="23" t="s">
        <v>23</v>
      </c>
      <c r="D10" s="24">
        <v>18</v>
      </c>
      <c r="E10" s="12" t="s">
        <v>51</v>
      </c>
      <c r="F10" s="18" t="s">
        <v>5</v>
      </c>
      <c r="G10" s="18" t="s">
        <v>5</v>
      </c>
      <c r="H10" s="18" t="s">
        <v>5</v>
      </c>
      <c r="I10" s="18" t="s">
        <v>5</v>
      </c>
      <c r="J10" s="18" t="s">
        <v>5</v>
      </c>
      <c r="K10" s="18" t="s">
        <v>5</v>
      </c>
      <c r="L10" s="12" t="s">
        <v>51</v>
      </c>
      <c r="M10" s="18" t="s">
        <v>5</v>
      </c>
      <c r="N10" s="12" t="s">
        <v>52</v>
      </c>
      <c r="O10" s="18" t="s">
        <v>5</v>
      </c>
      <c r="P10" s="18" t="s">
        <v>5</v>
      </c>
      <c r="Q10" s="18" t="s">
        <v>5</v>
      </c>
      <c r="R10" s="18" t="s">
        <v>5</v>
      </c>
      <c r="S10" s="12" t="s">
        <v>51</v>
      </c>
      <c r="T10" s="18" t="s">
        <v>5</v>
      </c>
      <c r="U10" s="18" t="s">
        <v>5</v>
      </c>
      <c r="V10" s="18" t="s">
        <v>5</v>
      </c>
      <c r="W10" s="18" t="s">
        <v>5</v>
      </c>
      <c r="X10" s="18" t="s">
        <v>5</v>
      </c>
      <c r="Y10" s="18" t="s">
        <v>5</v>
      </c>
      <c r="Z10" s="12" t="s">
        <v>51</v>
      </c>
      <c r="AA10" s="18" t="s">
        <v>5</v>
      </c>
      <c r="AB10" s="18" t="s">
        <v>5</v>
      </c>
      <c r="AC10" s="18" t="s">
        <v>5</v>
      </c>
      <c r="AD10" s="18" t="s">
        <v>5</v>
      </c>
      <c r="AE10" s="18" t="s">
        <v>5</v>
      </c>
      <c r="AF10" s="18" t="s">
        <v>5</v>
      </c>
      <c r="AG10" s="12" t="s">
        <v>51</v>
      </c>
      <c r="AH10" s="18" t="s">
        <v>5</v>
      </c>
      <c r="AI10" s="18" t="s">
        <v>5</v>
      </c>
      <c r="AJ10" s="12">
        <f t="shared" si="4"/>
        <v>25</v>
      </c>
      <c r="AK10" s="12">
        <f t="shared" si="5"/>
        <v>0</v>
      </c>
      <c r="AL10" s="12">
        <f t="shared" si="6"/>
        <v>0</v>
      </c>
      <c r="AM10" s="12">
        <f t="shared" si="2"/>
        <v>5</v>
      </c>
      <c r="AO10" s="20" t="s">
        <v>19</v>
      </c>
      <c r="AP10" s="27">
        <f t="shared" si="3"/>
        <v>0.16180758017492711</v>
      </c>
      <c r="AQ10" s="19"/>
    </row>
    <row r="11" spans="1:43" x14ac:dyDescent="0.3">
      <c r="A11" s="9">
        <v>5</v>
      </c>
      <c r="B11" s="4">
        <v>899</v>
      </c>
      <c r="C11" s="23" t="s">
        <v>24</v>
      </c>
      <c r="D11" s="24">
        <v>19</v>
      </c>
      <c r="E11" s="12" t="s">
        <v>51</v>
      </c>
      <c r="F11" s="18" t="s">
        <v>5</v>
      </c>
      <c r="G11" s="18" t="s">
        <v>5</v>
      </c>
      <c r="H11" s="18" t="s">
        <v>5</v>
      </c>
      <c r="I11" s="18" t="s">
        <v>5</v>
      </c>
      <c r="J11" s="18" t="s">
        <v>5</v>
      </c>
      <c r="K11" s="18" t="s">
        <v>5</v>
      </c>
      <c r="L11" s="12" t="s">
        <v>51</v>
      </c>
      <c r="M11" s="18" t="s">
        <v>5</v>
      </c>
      <c r="N11" s="12" t="s">
        <v>52</v>
      </c>
      <c r="O11" s="18" t="s">
        <v>5</v>
      </c>
      <c r="P11" s="18" t="s">
        <v>5</v>
      </c>
      <c r="Q11" s="18" t="s">
        <v>5</v>
      </c>
      <c r="R11" s="18" t="s">
        <v>5</v>
      </c>
      <c r="S11" s="12" t="s">
        <v>51</v>
      </c>
      <c r="T11" s="18" t="s">
        <v>5</v>
      </c>
      <c r="U11" s="18" t="s">
        <v>5</v>
      </c>
      <c r="V11" s="18" t="s">
        <v>5</v>
      </c>
      <c r="W11" s="18" t="s">
        <v>5</v>
      </c>
      <c r="X11" s="18" t="s">
        <v>5</v>
      </c>
      <c r="Y11" s="18" t="s">
        <v>5</v>
      </c>
      <c r="Z11" s="12" t="s">
        <v>51</v>
      </c>
      <c r="AA11" s="18" t="s">
        <v>5</v>
      </c>
      <c r="AB11" s="18" t="s">
        <v>5</v>
      </c>
      <c r="AC11" s="18" t="s">
        <v>5</v>
      </c>
      <c r="AD11" s="18" t="s">
        <v>5</v>
      </c>
      <c r="AE11" s="18" t="s">
        <v>10</v>
      </c>
      <c r="AF11" s="18" t="s">
        <v>5</v>
      </c>
      <c r="AG11" s="12" t="s">
        <v>51</v>
      </c>
      <c r="AH11" s="18" t="s">
        <v>5</v>
      </c>
      <c r="AI11" s="18" t="s">
        <v>5</v>
      </c>
      <c r="AJ11" s="12">
        <f t="shared" si="4"/>
        <v>24</v>
      </c>
      <c r="AK11" s="12">
        <f t="shared" si="5"/>
        <v>1</v>
      </c>
      <c r="AL11" s="12">
        <f t="shared" si="6"/>
        <v>0</v>
      </c>
      <c r="AM11" s="12">
        <f t="shared" si="2"/>
        <v>5</v>
      </c>
      <c r="AO11" s="20" t="s">
        <v>20</v>
      </c>
      <c r="AP11" s="27">
        <f t="shared" si="3"/>
        <v>0.15306122448979592</v>
      </c>
      <c r="AQ11" s="19"/>
    </row>
    <row r="12" spans="1:43" x14ac:dyDescent="0.3">
      <c r="A12" s="9">
        <v>6</v>
      </c>
      <c r="B12" s="4">
        <v>860</v>
      </c>
      <c r="C12" s="23" t="s">
        <v>25</v>
      </c>
      <c r="D12" s="25">
        <v>20</v>
      </c>
      <c r="E12" s="12" t="s">
        <v>51</v>
      </c>
      <c r="F12" s="18" t="s">
        <v>5</v>
      </c>
      <c r="G12" s="18" t="s">
        <v>10</v>
      </c>
      <c r="H12" s="18" t="s">
        <v>5</v>
      </c>
      <c r="I12" s="18" t="s">
        <v>5</v>
      </c>
      <c r="J12" s="18" t="s">
        <v>5</v>
      </c>
      <c r="K12" s="18" t="s">
        <v>5</v>
      </c>
      <c r="L12" s="12" t="s">
        <v>51</v>
      </c>
      <c r="M12" s="18" t="s">
        <v>5</v>
      </c>
      <c r="N12" s="12" t="s">
        <v>52</v>
      </c>
      <c r="O12" s="18" t="s">
        <v>5</v>
      </c>
      <c r="P12" s="18" t="s">
        <v>5</v>
      </c>
      <c r="Q12" s="18" t="s">
        <v>5</v>
      </c>
      <c r="R12" s="18" t="s">
        <v>5</v>
      </c>
      <c r="S12" s="12" t="s">
        <v>51</v>
      </c>
      <c r="T12" s="18" t="s">
        <v>5</v>
      </c>
      <c r="U12" s="18" t="s">
        <v>5</v>
      </c>
      <c r="V12" s="18" t="s">
        <v>5</v>
      </c>
      <c r="W12" s="18" t="s">
        <v>5</v>
      </c>
      <c r="X12" s="18" t="s">
        <v>5</v>
      </c>
      <c r="Y12" s="18" t="s">
        <v>5</v>
      </c>
      <c r="Z12" s="12" t="s">
        <v>51</v>
      </c>
      <c r="AA12" s="18" t="s">
        <v>5</v>
      </c>
      <c r="AB12" s="18" t="s">
        <v>5</v>
      </c>
      <c r="AC12" s="18" t="s">
        <v>5</v>
      </c>
      <c r="AD12" s="18" t="s">
        <v>5</v>
      </c>
      <c r="AE12" s="18" t="s">
        <v>5</v>
      </c>
      <c r="AF12" s="18" t="s">
        <v>5</v>
      </c>
      <c r="AG12" s="12" t="s">
        <v>51</v>
      </c>
      <c r="AH12" s="18" t="s">
        <v>5</v>
      </c>
      <c r="AI12" s="18" t="s">
        <v>5</v>
      </c>
      <c r="AJ12" s="12">
        <f t="shared" si="4"/>
        <v>24</v>
      </c>
      <c r="AK12" s="12">
        <f t="shared" si="5"/>
        <v>1</v>
      </c>
      <c r="AL12" s="12">
        <f t="shared" si="6"/>
        <v>0</v>
      </c>
      <c r="AM12" s="12">
        <f t="shared" si="2"/>
        <v>5</v>
      </c>
      <c r="AO12" s="20" t="s">
        <v>21</v>
      </c>
      <c r="AP12" s="27">
        <f t="shared" si="3"/>
        <v>0.16034985422740525</v>
      </c>
      <c r="AQ12" s="19"/>
    </row>
    <row r="13" spans="1:43" x14ac:dyDescent="0.3">
      <c r="A13" s="9">
        <v>7</v>
      </c>
      <c r="B13" s="4">
        <v>809</v>
      </c>
      <c r="C13" s="23" t="s">
        <v>26</v>
      </c>
      <c r="D13" s="25">
        <v>21</v>
      </c>
      <c r="E13" s="12" t="s">
        <v>51</v>
      </c>
      <c r="F13" s="18" t="s">
        <v>5</v>
      </c>
      <c r="G13" s="18" t="s">
        <v>5</v>
      </c>
      <c r="H13" s="18" t="s">
        <v>5</v>
      </c>
      <c r="I13" s="18" t="s">
        <v>5</v>
      </c>
      <c r="J13" s="18" t="s">
        <v>5</v>
      </c>
      <c r="K13" s="18" t="s">
        <v>5</v>
      </c>
      <c r="L13" s="12" t="s">
        <v>51</v>
      </c>
      <c r="M13" s="18" t="s">
        <v>5</v>
      </c>
      <c r="N13" s="12" t="s">
        <v>52</v>
      </c>
      <c r="O13" s="18" t="s">
        <v>5</v>
      </c>
      <c r="P13" s="18" t="s">
        <v>5</v>
      </c>
      <c r="Q13" s="18" t="s">
        <v>5</v>
      </c>
      <c r="R13" s="6" t="s">
        <v>10</v>
      </c>
      <c r="S13" s="12" t="s">
        <v>51</v>
      </c>
      <c r="T13" s="18" t="s">
        <v>5</v>
      </c>
      <c r="U13" s="18" t="s">
        <v>5</v>
      </c>
      <c r="V13" s="18" t="s">
        <v>5</v>
      </c>
      <c r="W13" s="18" t="s">
        <v>5</v>
      </c>
      <c r="X13" s="18" t="s">
        <v>5</v>
      </c>
      <c r="Y13" s="18" t="s">
        <v>5</v>
      </c>
      <c r="Z13" s="12" t="s">
        <v>51</v>
      </c>
      <c r="AA13" s="18" t="s">
        <v>5</v>
      </c>
      <c r="AB13" s="18" t="s">
        <v>5</v>
      </c>
      <c r="AC13" s="18" t="s">
        <v>5</v>
      </c>
      <c r="AD13" s="18" t="s">
        <v>5</v>
      </c>
      <c r="AE13" s="18" t="s">
        <v>5</v>
      </c>
      <c r="AF13" s="18" t="s">
        <v>5</v>
      </c>
      <c r="AG13" s="12" t="s">
        <v>51</v>
      </c>
      <c r="AH13" s="18" t="s">
        <v>5</v>
      </c>
      <c r="AI13" s="6" t="s">
        <v>10</v>
      </c>
      <c r="AJ13" s="12">
        <f t="shared" si="4"/>
        <v>23</v>
      </c>
      <c r="AK13" s="12">
        <f t="shared" si="5"/>
        <v>2</v>
      </c>
      <c r="AL13" s="12">
        <f t="shared" si="6"/>
        <v>0</v>
      </c>
      <c r="AM13" s="12">
        <f t="shared" si="2"/>
        <v>4</v>
      </c>
      <c r="AO13" s="20" t="s">
        <v>15</v>
      </c>
      <c r="AP13" s="27">
        <f t="shared" si="3"/>
        <v>0</v>
      </c>
      <c r="AQ13" s="19"/>
    </row>
    <row r="14" spans="1:43" x14ac:dyDescent="0.3">
      <c r="A14" s="9">
        <v>8</v>
      </c>
      <c r="B14" s="4">
        <v>536</v>
      </c>
      <c r="C14" s="23" t="s">
        <v>27</v>
      </c>
      <c r="D14" s="25">
        <v>22</v>
      </c>
      <c r="E14" s="12" t="s">
        <v>51</v>
      </c>
      <c r="F14" s="18" t="s">
        <v>5</v>
      </c>
      <c r="G14" s="18" t="s">
        <v>5</v>
      </c>
      <c r="H14" s="18" t="s">
        <v>5</v>
      </c>
      <c r="I14" s="18" t="s">
        <v>5</v>
      </c>
      <c r="J14" s="18" t="s">
        <v>5</v>
      </c>
      <c r="K14" s="6" t="s">
        <v>10</v>
      </c>
      <c r="L14" s="12" t="s">
        <v>51</v>
      </c>
      <c r="M14" s="18" t="s">
        <v>5</v>
      </c>
      <c r="N14" s="12" t="s">
        <v>52</v>
      </c>
      <c r="O14" s="6" t="s">
        <v>5</v>
      </c>
      <c r="P14" s="18" t="s">
        <v>5</v>
      </c>
      <c r="Q14" s="18" t="s">
        <v>5</v>
      </c>
      <c r="R14" s="18" t="s">
        <v>5</v>
      </c>
      <c r="S14" s="12" t="s">
        <v>51</v>
      </c>
      <c r="T14" s="18" t="s">
        <v>5</v>
      </c>
      <c r="U14" s="18" t="s">
        <v>5</v>
      </c>
      <c r="V14" s="18" t="s">
        <v>5</v>
      </c>
      <c r="W14" s="6" t="s">
        <v>10</v>
      </c>
      <c r="X14" s="6" t="s">
        <v>11</v>
      </c>
      <c r="Y14" s="18" t="s">
        <v>5</v>
      </c>
      <c r="Z14" s="12" t="s">
        <v>51</v>
      </c>
      <c r="AA14" s="18" t="s">
        <v>5</v>
      </c>
      <c r="AB14" s="18" t="s">
        <v>5</v>
      </c>
      <c r="AC14" s="18" t="s">
        <v>5</v>
      </c>
      <c r="AD14" s="18" t="s">
        <v>5</v>
      </c>
      <c r="AE14" s="18" t="s">
        <v>5</v>
      </c>
      <c r="AF14" s="6" t="s">
        <v>5</v>
      </c>
      <c r="AG14" s="12" t="s">
        <v>51</v>
      </c>
      <c r="AH14" s="18" t="s">
        <v>5</v>
      </c>
      <c r="AI14" s="18" t="s">
        <v>5</v>
      </c>
      <c r="AJ14" s="12">
        <f t="shared" si="4"/>
        <v>22</v>
      </c>
      <c r="AK14" s="12">
        <f t="shared" si="5"/>
        <v>2</v>
      </c>
      <c r="AL14" s="12">
        <f t="shared" si="6"/>
        <v>1</v>
      </c>
      <c r="AM14" s="12">
        <f t="shared" si="2"/>
        <v>5</v>
      </c>
    </row>
    <row r="15" spans="1:43" x14ac:dyDescent="0.3">
      <c r="A15" s="9">
        <v>9</v>
      </c>
      <c r="B15" s="4">
        <v>192</v>
      </c>
      <c r="C15" s="23" t="s">
        <v>28</v>
      </c>
      <c r="D15" s="25">
        <v>23</v>
      </c>
      <c r="E15" s="12" t="s">
        <v>51</v>
      </c>
      <c r="F15" s="18" t="s">
        <v>5</v>
      </c>
      <c r="G15" s="18" t="s">
        <v>5</v>
      </c>
      <c r="H15" s="6" t="s">
        <v>5</v>
      </c>
      <c r="I15" s="18" t="s">
        <v>5</v>
      </c>
      <c r="J15" s="18" t="s">
        <v>5</v>
      </c>
      <c r="K15" s="18" t="s">
        <v>5</v>
      </c>
      <c r="L15" s="12" t="s">
        <v>51</v>
      </c>
      <c r="M15" s="18" t="s">
        <v>5</v>
      </c>
      <c r="N15" s="12" t="s">
        <v>52</v>
      </c>
      <c r="O15" s="18" t="s">
        <v>5</v>
      </c>
      <c r="P15" s="18" t="s">
        <v>5</v>
      </c>
      <c r="Q15" s="6" t="s">
        <v>11</v>
      </c>
      <c r="R15" s="18" t="s">
        <v>5</v>
      </c>
      <c r="S15" s="12" t="s">
        <v>51</v>
      </c>
      <c r="T15" s="6" t="s">
        <v>5</v>
      </c>
      <c r="U15" s="18" t="s">
        <v>5</v>
      </c>
      <c r="V15" s="18" t="s">
        <v>5</v>
      </c>
      <c r="W15" s="18" t="s">
        <v>5</v>
      </c>
      <c r="X15" s="6" t="s">
        <v>10</v>
      </c>
      <c r="Y15" s="18" t="s">
        <v>5</v>
      </c>
      <c r="Z15" s="12" t="s">
        <v>51</v>
      </c>
      <c r="AA15" s="18" t="s">
        <v>5</v>
      </c>
      <c r="AB15" s="18" t="s">
        <v>5</v>
      </c>
      <c r="AC15" s="18" t="s">
        <v>5</v>
      </c>
      <c r="AD15" s="18" t="s">
        <v>5</v>
      </c>
      <c r="AE15" s="18" t="s">
        <v>5</v>
      </c>
      <c r="AF15" s="18" t="s">
        <v>5</v>
      </c>
      <c r="AG15" s="12" t="s">
        <v>51</v>
      </c>
      <c r="AH15" s="6" t="s">
        <v>11</v>
      </c>
      <c r="AI15" s="18" t="s">
        <v>5</v>
      </c>
      <c r="AJ15" s="12">
        <f t="shared" si="4"/>
        <v>22</v>
      </c>
      <c r="AK15" s="12">
        <f t="shared" si="5"/>
        <v>1</v>
      </c>
      <c r="AL15" s="12">
        <f t="shared" si="6"/>
        <v>2</v>
      </c>
      <c r="AM15" s="12">
        <f t="shared" si="2"/>
        <v>4</v>
      </c>
    </row>
    <row r="16" spans="1:43" x14ac:dyDescent="0.3">
      <c r="A16" s="9">
        <v>10</v>
      </c>
      <c r="B16" s="4">
        <v>721</v>
      </c>
      <c r="C16" s="23" t="s">
        <v>29</v>
      </c>
      <c r="D16" s="25">
        <v>24</v>
      </c>
      <c r="E16" s="12" t="s">
        <v>51</v>
      </c>
      <c r="F16" s="18" t="s">
        <v>5</v>
      </c>
      <c r="G16" s="18" t="s">
        <v>5</v>
      </c>
      <c r="H16" s="18" t="s">
        <v>5</v>
      </c>
      <c r="I16" s="18" t="s">
        <v>5</v>
      </c>
      <c r="J16" s="6" t="s">
        <v>11</v>
      </c>
      <c r="K16" s="18" t="s">
        <v>5</v>
      </c>
      <c r="L16" s="12" t="s">
        <v>51</v>
      </c>
      <c r="M16" s="18" t="s">
        <v>5</v>
      </c>
      <c r="N16" s="12" t="s">
        <v>52</v>
      </c>
      <c r="O16" s="18" t="s">
        <v>5</v>
      </c>
      <c r="P16" s="18" t="s">
        <v>5</v>
      </c>
      <c r="Q16" s="18" t="s">
        <v>5</v>
      </c>
      <c r="R16" s="18" t="s">
        <v>5</v>
      </c>
      <c r="S16" s="12" t="s">
        <v>51</v>
      </c>
      <c r="T16" s="18" t="s">
        <v>5</v>
      </c>
      <c r="U16" s="18" t="s">
        <v>5</v>
      </c>
      <c r="V16" s="6" t="s">
        <v>11</v>
      </c>
      <c r="W16" s="18" t="s">
        <v>5</v>
      </c>
      <c r="X16" s="18" t="s">
        <v>5</v>
      </c>
      <c r="Y16" s="18" t="s">
        <v>5</v>
      </c>
      <c r="Z16" s="12" t="s">
        <v>51</v>
      </c>
      <c r="AA16" s="18" t="s">
        <v>5</v>
      </c>
      <c r="AB16" s="18" t="s">
        <v>5</v>
      </c>
      <c r="AC16" s="18" t="s">
        <v>5</v>
      </c>
      <c r="AD16" s="18" t="s">
        <v>5</v>
      </c>
      <c r="AE16" s="6" t="s">
        <v>5</v>
      </c>
      <c r="AF16" s="18" t="s">
        <v>5</v>
      </c>
      <c r="AG16" s="12" t="s">
        <v>51</v>
      </c>
      <c r="AH16" s="18" t="s">
        <v>5</v>
      </c>
      <c r="AI16" s="18" t="s">
        <v>5</v>
      </c>
      <c r="AJ16" s="12">
        <f t="shared" si="4"/>
        <v>23</v>
      </c>
      <c r="AK16" s="12">
        <f t="shared" si="5"/>
        <v>0</v>
      </c>
      <c r="AL16" s="12">
        <f t="shared" si="6"/>
        <v>2</v>
      </c>
      <c r="AM16" s="12">
        <f t="shared" si="2"/>
        <v>5</v>
      </c>
    </row>
    <row r="17" spans="1:39" x14ac:dyDescent="0.3">
      <c r="A17" s="9">
        <v>11</v>
      </c>
      <c r="B17" s="4">
        <v>770</v>
      </c>
      <c r="C17" s="23" t="s">
        <v>30</v>
      </c>
      <c r="D17" s="25">
        <v>25</v>
      </c>
      <c r="E17" s="12" t="s">
        <v>51</v>
      </c>
      <c r="F17" s="18" t="s">
        <v>5</v>
      </c>
      <c r="G17" s="6" t="s">
        <v>5</v>
      </c>
      <c r="H17" s="18" t="s">
        <v>5</v>
      </c>
      <c r="I17" s="18" t="s">
        <v>5</v>
      </c>
      <c r="J17" s="18" t="s">
        <v>5</v>
      </c>
      <c r="K17" s="18" t="s">
        <v>5</v>
      </c>
      <c r="L17" s="12" t="s">
        <v>51</v>
      </c>
      <c r="M17" s="18" t="s">
        <v>5</v>
      </c>
      <c r="N17" s="12" t="s">
        <v>52</v>
      </c>
      <c r="O17" s="18" t="s">
        <v>5</v>
      </c>
      <c r="P17" s="6" t="s">
        <v>11</v>
      </c>
      <c r="Q17" s="18" t="s">
        <v>5</v>
      </c>
      <c r="R17" s="18" t="s">
        <v>5</v>
      </c>
      <c r="S17" s="12" t="s">
        <v>51</v>
      </c>
      <c r="T17" s="18" t="s">
        <v>5</v>
      </c>
      <c r="U17" s="18" t="s">
        <v>5</v>
      </c>
      <c r="V17" s="18" t="s">
        <v>5</v>
      </c>
      <c r="W17" s="18" t="s">
        <v>5</v>
      </c>
      <c r="X17" s="18" t="s">
        <v>5</v>
      </c>
      <c r="Y17" s="18" t="s">
        <v>5</v>
      </c>
      <c r="Z17" s="12" t="s">
        <v>51</v>
      </c>
      <c r="AA17" s="18" t="s">
        <v>5</v>
      </c>
      <c r="AB17" s="18" t="s">
        <v>5</v>
      </c>
      <c r="AC17" s="18" t="s">
        <v>5</v>
      </c>
      <c r="AD17" s="18" t="s">
        <v>5</v>
      </c>
      <c r="AE17" s="18" t="s">
        <v>5</v>
      </c>
      <c r="AF17" s="18" t="s">
        <v>5</v>
      </c>
      <c r="AG17" s="12" t="s">
        <v>51</v>
      </c>
      <c r="AH17" s="18" t="s">
        <v>5</v>
      </c>
      <c r="AI17" s="18" t="s">
        <v>5</v>
      </c>
      <c r="AJ17" s="12">
        <f t="shared" si="4"/>
        <v>24</v>
      </c>
      <c r="AK17" s="12">
        <f t="shared" si="5"/>
        <v>0</v>
      </c>
      <c r="AL17" s="12">
        <f t="shared" si="6"/>
        <v>1</v>
      </c>
      <c r="AM17" s="12">
        <f t="shared" si="2"/>
        <v>4</v>
      </c>
    </row>
    <row r="18" spans="1:39" x14ac:dyDescent="0.3">
      <c r="A18" s="9">
        <v>12</v>
      </c>
      <c r="B18" s="4">
        <v>801</v>
      </c>
      <c r="C18" s="23" t="s">
        <v>31</v>
      </c>
      <c r="D18" s="25">
        <v>26</v>
      </c>
      <c r="E18" s="12" t="s">
        <v>51</v>
      </c>
      <c r="F18" s="18" t="s">
        <v>5</v>
      </c>
      <c r="G18" s="18" t="s">
        <v>5</v>
      </c>
      <c r="H18" s="18" t="s">
        <v>5</v>
      </c>
      <c r="I18" s="6" t="s">
        <v>11</v>
      </c>
      <c r="J18" s="18" t="s">
        <v>5</v>
      </c>
      <c r="K18" s="18" t="s">
        <v>5</v>
      </c>
      <c r="L18" s="12" t="s">
        <v>51</v>
      </c>
      <c r="M18" s="18" t="s">
        <v>5</v>
      </c>
      <c r="N18" s="12" t="s">
        <v>52</v>
      </c>
      <c r="O18" s="18" t="s">
        <v>5</v>
      </c>
      <c r="P18" s="18" t="s">
        <v>5</v>
      </c>
      <c r="Q18" s="18" t="s">
        <v>5</v>
      </c>
      <c r="R18" s="18" t="s">
        <v>5</v>
      </c>
      <c r="S18" s="12" t="s">
        <v>51</v>
      </c>
      <c r="T18" s="18" t="s">
        <v>5</v>
      </c>
      <c r="U18" s="6" t="s">
        <v>11</v>
      </c>
      <c r="V18" s="18" t="s">
        <v>5</v>
      </c>
      <c r="W18" s="18" t="s">
        <v>5</v>
      </c>
      <c r="X18" s="6" t="s">
        <v>10</v>
      </c>
      <c r="Y18" s="18" t="s">
        <v>5</v>
      </c>
      <c r="Z18" s="12" t="s">
        <v>51</v>
      </c>
      <c r="AA18" s="18" t="s">
        <v>10</v>
      </c>
      <c r="AB18" s="18" t="s">
        <v>5</v>
      </c>
      <c r="AC18" s="18" t="s">
        <v>5</v>
      </c>
      <c r="AD18" s="18" t="s">
        <v>5</v>
      </c>
      <c r="AE18" s="18" t="s">
        <v>5</v>
      </c>
      <c r="AF18" s="18" t="s">
        <v>5</v>
      </c>
      <c r="AG18" s="12" t="s">
        <v>51</v>
      </c>
      <c r="AH18" s="18" t="s">
        <v>5</v>
      </c>
      <c r="AI18" s="18" t="s">
        <v>5</v>
      </c>
      <c r="AJ18" s="12">
        <f t="shared" si="4"/>
        <v>21</v>
      </c>
      <c r="AK18" s="12">
        <f t="shared" si="5"/>
        <v>2</v>
      </c>
      <c r="AL18" s="12">
        <f t="shared" si="6"/>
        <v>2</v>
      </c>
      <c r="AM18" s="12">
        <f t="shared" si="2"/>
        <v>5</v>
      </c>
    </row>
    <row r="19" spans="1:39" x14ac:dyDescent="0.3">
      <c r="A19" s="9">
        <v>13</v>
      </c>
      <c r="B19" s="4">
        <v>884</v>
      </c>
      <c r="C19" s="23" t="s">
        <v>32</v>
      </c>
      <c r="D19" s="25">
        <v>27</v>
      </c>
      <c r="E19" s="12" t="s">
        <v>51</v>
      </c>
      <c r="F19" s="18" t="s">
        <v>5</v>
      </c>
      <c r="G19" s="18" t="s">
        <v>5</v>
      </c>
      <c r="H19" s="18" t="s">
        <v>5</v>
      </c>
      <c r="I19" s="18" t="s">
        <v>5</v>
      </c>
      <c r="J19" s="18" t="s">
        <v>5</v>
      </c>
      <c r="K19" s="18" t="s">
        <v>5</v>
      </c>
      <c r="L19" s="12" t="s">
        <v>51</v>
      </c>
      <c r="M19" s="18" t="s">
        <v>5</v>
      </c>
      <c r="N19" s="12" t="s">
        <v>52</v>
      </c>
      <c r="O19" s="18" t="s">
        <v>5</v>
      </c>
      <c r="P19" s="18" t="s">
        <v>5</v>
      </c>
      <c r="Q19" s="18" t="s">
        <v>5</v>
      </c>
      <c r="R19" s="18" t="s">
        <v>5</v>
      </c>
      <c r="S19" s="12" t="s">
        <v>51</v>
      </c>
      <c r="T19" s="18" t="s">
        <v>5</v>
      </c>
      <c r="U19" s="18" t="s">
        <v>5</v>
      </c>
      <c r="V19" s="18" t="s">
        <v>5</v>
      </c>
      <c r="W19" s="18" t="s">
        <v>5</v>
      </c>
      <c r="X19" s="18" t="s">
        <v>5</v>
      </c>
      <c r="Y19" s="18" t="s">
        <v>5</v>
      </c>
      <c r="Z19" s="12" t="s">
        <v>51</v>
      </c>
      <c r="AA19" s="18" t="s">
        <v>5</v>
      </c>
      <c r="AB19" s="18" t="s">
        <v>5</v>
      </c>
      <c r="AC19" s="18" t="s">
        <v>5</v>
      </c>
      <c r="AD19" s="18" t="s">
        <v>5</v>
      </c>
      <c r="AE19" s="18" t="s">
        <v>5</v>
      </c>
      <c r="AF19" s="18" t="s">
        <v>5</v>
      </c>
      <c r="AG19" s="12" t="s">
        <v>51</v>
      </c>
      <c r="AH19" s="18" t="s">
        <v>5</v>
      </c>
      <c r="AI19" s="18" t="s">
        <v>5</v>
      </c>
      <c r="AJ19" s="12">
        <f t="shared" si="4"/>
        <v>25</v>
      </c>
      <c r="AK19" s="12">
        <f t="shared" si="5"/>
        <v>0</v>
      </c>
      <c r="AL19" s="12">
        <f t="shared" si="6"/>
        <v>0</v>
      </c>
      <c r="AM19" s="12">
        <f t="shared" si="2"/>
        <v>5</v>
      </c>
    </row>
    <row r="20" spans="1:39" x14ac:dyDescent="0.3">
      <c r="A20" s="9">
        <v>14</v>
      </c>
      <c r="B20" s="4">
        <v>613</v>
      </c>
      <c r="C20" s="23" t="s">
        <v>35</v>
      </c>
      <c r="D20" s="25">
        <v>28</v>
      </c>
      <c r="E20" s="12" t="s">
        <v>51</v>
      </c>
      <c r="F20" s="18" t="s">
        <v>5</v>
      </c>
      <c r="G20" s="18" t="s">
        <v>5</v>
      </c>
      <c r="H20" s="18" t="s">
        <v>5</v>
      </c>
      <c r="I20" s="18" t="s">
        <v>5</v>
      </c>
      <c r="J20" s="18" t="s">
        <v>5</v>
      </c>
      <c r="K20" s="18" t="s">
        <v>5</v>
      </c>
      <c r="L20" s="12" t="s">
        <v>51</v>
      </c>
      <c r="M20" s="18" t="s">
        <v>5</v>
      </c>
      <c r="N20" s="12" t="s">
        <v>52</v>
      </c>
      <c r="O20" s="6" t="s">
        <v>5</v>
      </c>
      <c r="P20" s="18" t="s">
        <v>5</v>
      </c>
      <c r="Q20" s="18" t="s">
        <v>5</v>
      </c>
      <c r="R20" s="18" t="s">
        <v>5</v>
      </c>
      <c r="S20" s="12" t="s">
        <v>51</v>
      </c>
      <c r="T20" s="18" t="s">
        <v>5</v>
      </c>
      <c r="U20" s="18" t="s">
        <v>5</v>
      </c>
      <c r="V20" s="18" t="s">
        <v>5</v>
      </c>
      <c r="W20" s="18" t="s">
        <v>5</v>
      </c>
      <c r="X20" s="18" t="s">
        <v>5</v>
      </c>
      <c r="Y20" s="18" t="s">
        <v>5</v>
      </c>
      <c r="Z20" s="12" t="s">
        <v>51</v>
      </c>
      <c r="AA20" s="18" t="s">
        <v>5</v>
      </c>
      <c r="AB20" s="18" t="s">
        <v>5</v>
      </c>
      <c r="AC20" s="18" t="s">
        <v>5</v>
      </c>
      <c r="AD20" s="18" t="s">
        <v>5</v>
      </c>
      <c r="AE20" s="18" t="s">
        <v>5</v>
      </c>
      <c r="AF20" s="6" t="s">
        <v>5</v>
      </c>
      <c r="AG20" s="12" t="s">
        <v>51</v>
      </c>
      <c r="AH20" s="18" t="s">
        <v>5</v>
      </c>
      <c r="AI20" s="18" t="s">
        <v>5</v>
      </c>
      <c r="AJ20" s="12">
        <f t="shared" si="4"/>
        <v>25</v>
      </c>
      <c r="AK20" s="12">
        <f t="shared" si="5"/>
        <v>0</v>
      </c>
      <c r="AL20" s="12">
        <f t="shared" si="6"/>
        <v>0</v>
      </c>
      <c r="AM20" s="12">
        <f t="shared" si="2"/>
        <v>5</v>
      </c>
    </row>
    <row r="21" spans="1:39" x14ac:dyDescent="0.3">
      <c r="A21" s="9">
        <v>15</v>
      </c>
      <c r="B21" s="4">
        <v>409</v>
      </c>
      <c r="C21" s="23" t="s">
        <v>34</v>
      </c>
      <c r="D21" s="25">
        <v>29</v>
      </c>
      <c r="E21" s="12" t="s">
        <v>51</v>
      </c>
      <c r="F21" s="6" t="s">
        <v>10</v>
      </c>
      <c r="G21" s="18" t="s">
        <v>5</v>
      </c>
      <c r="H21" s="6" t="s">
        <v>5</v>
      </c>
      <c r="I21" s="18" t="s">
        <v>5</v>
      </c>
      <c r="J21" s="18" t="s">
        <v>5</v>
      </c>
      <c r="K21" s="18" t="s">
        <v>5</v>
      </c>
      <c r="L21" s="12" t="s">
        <v>51</v>
      </c>
      <c r="M21" s="18" t="s">
        <v>5</v>
      </c>
      <c r="N21" s="12" t="s">
        <v>52</v>
      </c>
      <c r="O21" s="18" t="s">
        <v>5</v>
      </c>
      <c r="P21" s="18" t="s">
        <v>5</v>
      </c>
      <c r="Q21" s="18" t="s">
        <v>5</v>
      </c>
      <c r="R21" s="18" t="s">
        <v>5</v>
      </c>
      <c r="S21" s="12" t="s">
        <v>51</v>
      </c>
      <c r="T21" s="6" t="s">
        <v>5</v>
      </c>
      <c r="U21" s="18" t="s">
        <v>5</v>
      </c>
      <c r="V21" s="18" t="s">
        <v>5</v>
      </c>
      <c r="W21" s="18" t="s">
        <v>5</v>
      </c>
      <c r="X21" s="18" t="s">
        <v>5</v>
      </c>
      <c r="Y21" s="18" t="s">
        <v>5</v>
      </c>
      <c r="Z21" s="12" t="s">
        <v>51</v>
      </c>
      <c r="AA21" s="18" t="s">
        <v>5</v>
      </c>
      <c r="AB21" s="6" t="s">
        <v>5</v>
      </c>
      <c r="AC21" s="18" t="s">
        <v>5</v>
      </c>
      <c r="AD21" s="18" t="s">
        <v>5</v>
      </c>
      <c r="AE21" s="18" t="s">
        <v>5</v>
      </c>
      <c r="AF21" s="18" t="s">
        <v>5</v>
      </c>
      <c r="AG21" s="12" t="s">
        <v>51</v>
      </c>
      <c r="AH21" s="18" t="s">
        <v>5</v>
      </c>
      <c r="AI21" s="18" t="s">
        <v>5</v>
      </c>
      <c r="AJ21" s="12">
        <f t="shared" si="4"/>
        <v>24</v>
      </c>
      <c r="AK21" s="12">
        <f t="shared" si="5"/>
        <v>1</v>
      </c>
      <c r="AL21" s="12">
        <f t="shared" si="6"/>
        <v>0</v>
      </c>
      <c r="AM21" s="12">
        <f t="shared" si="2"/>
        <v>5</v>
      </c>
    </row>
    <row r="22" spans="1:39" x14ac:dyDescent="0.3">
      <c r="A22" s="9">
        <v>16</v>
      </c>
      <c r="B22" s="4">
        <v>859</v>
      </c>
      <c r="C22" s="23" t="s">
        <v>36</v>
      </c>
      <c r="D22" s="25">
        <v>30</v>
      </c>
      <c r="E22" s="12" t="s">
        <v>51</v>
      </c>
      <c r="F22" s="18" t="s">
        <v>5</v>
      </c>
      <c r="G22" s="18" t="s">
        <v>5</v>
      </c>
      <c r="H22" s="18" t="s">
        <v>5</v>
      </c>
      <c r="I22" s="18" t="s">
        <v>5</v>
      </c>
      <c r="J22" s="18" t="s">
        <v>5</v>
      </c>
      <c r="K22" s="18" t="s">
        <v>5</v>
      </c>
      <c r="L22" s="12" t="s">
        <v>51</v>
      </c>
      <c r="M22" s="18" t="s">
        <v>5</v>
      </c>
      <c r="N22" s="12" t="s">
        <v>52</v>
      </c>
      <c r="O22" s="6" t="s">
        <v>11</v>
      </c>
      <c r="P22" s="18" t="s">
        <v>5</v>
      </c>
      <c r="Q22" s="6" t="s">
        <v>5</v>
      </c>
      <c r="R22" s="18" t="s">
        <v>5</v>
      </c>
      <c r="S22" s="12" t="s">
        <v>51</v>
      </c>
      <c r="T22" s="18" t="s">
        <v>5</v>
      </c>
      <c r="U22" s="18" t="s">
        <v>5</v>
      </c>
      <c r="V22" s="18" t="s">
        <v>5</v>
      </c>
      <c r="W22" s="18" t="s">
        <v>5</v>
      </c>
      <c r="X22" s="18" t="s">
        <v>5</v>
      </c>
      <c r="Y22" s="18" t="s">
        <v>5</v>
      </c>
      <c r="Z22" s="12" t="s">
        <v>51</v>
      </c>
      <c r="AA22" s="18" t="s">
        <v>5</v>
      </c>
      <c r="AB22" s="18" t="s">
        <v>5</v>
      </c>
      <c r="AC22" s="18" t="s">
        <v>5</v>
      </c>
      <c r="AD22" s="6" t="s">
        <v>11</v>
      </c>
      <c r="AE22" s="18" t="s">
        <v>5</v>
      </c>
      <c r="AF22" s="6" t="s">
        <v>11</v>
      </c>
      <c r="AG22" s="12" t="s">
        <v>51</v>
      </c>
      <c r="AH22" s="6" t="s">
        <v>5</v>
      </c>
      <c r="AI22" s="18" t="s">
        <v>5</v>
      </c>
      <c r="AJ22" s="12">
        <f t="shared" si="4"/>
        <v>22</v>
      </c>
      <c r="AK22" s="12">
        <f t="shared" si="5"/>
        <v>0</v>
      </c>
      <c r="AL22" s="12">
        <f t="shared" si="6"/>
        <v>3</v>
      </c>
      <c r="AM22" s="12">
        <f t="shared" si="2"/>
        <v>4</v>
      </c>
    </row>
    <row r="23" spans="1:39" x14ac:dyDescent="0.3">
      <c r="A23" s="9">
        <v>17</v>
      </c>
      <c r="B23" s="4">
        <v>146</v>
      </c>
      <c r="C23" s="23" t="s">
        <v>37</v>
      </c>
      <c r="D23" s="25">
        <v>31</v>
      </c>
      <c r="E23" s="12" t="s">
        <v>51</v>
      </c>
      <c r="F23" s="18" t="s">
        <v>5</v>
      </c>
      <c r="G23" s="18" t="s">
        <v>5</v>
      </c>
      <c r="H23" s="6" t="s">
        <v>11</v>
      </c>
      <c r="I23" s="18" t="s">
        <v>5</v>
      </c>
      <c r="J23" s="6" t="s">
        <v>5</v>
      </c>
      <c r="K23" s="18" t="s">
        <v>5</v>
      </c>
      <c r="L23" s="12" t="s">
        <v>51</v>
      </c>
      <c r="M23" s="18" t="s">
        <v>5</v>
      </c>
      <c r="N23" s="12" t="s">
        <v>52</v>
      </c>
      <c r="O23" s="18" t="s">
        <v>5</v>
      </c>
      <c r="P23" s="18" t="s">
        <v>5</v>
      </c>
      <c r="Q23" s="18" t="s">
        <v>5</v>
      </c>
      <c r="R23" s="18" t="s">
        <v>5</v>
      </c>
      <c r="S23" s="12" t="s">
        <v>51</v>
      </c>
      <c r="T23" s="6" t="s">
        <v>11</v>
      </c>
      <c r="U23" s="18" t="s">
        <v>5</v>
      </c>
      <c r="V23" s="6" t="s">
        <v>5</v>
      </c>
      <c r="W23" s="18" t="s">
        <v>5</v>
      </c>
      <c r="X23" s="18" t="s">
        <v>5</v>
      </c>
      <c r="Y23" s="18" t="s">
        <v>5</v>
      </c>
      <c r="Z23" s="12" t="s">
        <v>51</v>
      </c>
      <c r="AA23" s="6" t="s">
        <v>5</v>
      </c>
      <c r="AB23" s="18" t="s">
        <v>5</v>
      </c>
      <c r="AC23" s="18" t="s">
        <v>5</v>
      </c>
      <c r="AD23" s="18" t="s">
        <v>5</v>
      </c>
      <c r="AE23" s="18" t="s">
        <v>5</v>
      </c>
      <c r="AF23" s="18" t="s">
        <v>5</v>
      </c>
      <c r="AG23" s="12" t="s">
        <v>51</v>
      </c>
      <c r="AH23" s="18" t="s">
        <v>5</v>
      </c>
      <c r="AI23" s="18" t="s">
        <v>5</v>
      </c>
      <c r="AJ23" s="12">
        <f t="shared" si="4"/>
        <v>23</v>
      </c>
      <c r="AK23" s="12">
        <f t="shared" si="5"/>
        <v>0</v>
      </c>
      <c r="AL23" s="12">
        <f t="shared" si="6"/>
        <v>2</v>
      </c>
      <c r="AM23" s="12">
        <f t="shared" si="2"/>
        <v>5</v>
      </c>
    </row>
    <row r="24" spans="1:39" x14ac:dyDescent="0.3">
      <c r="A24" s="9">
        <v>18</v>
      </c>
      <c r="B24" s="4">
        <v>797</v>
      </c>
      <c r="C24" s="23" t="s">
        <v>38</v>
      </c>
      <c r="D24" s="25">
        <v>32</v>
      </c>
      <c r="E24" s="12" t="s">
        <v>51</v>
      </c>
      <c r="F24" s="6" t="s">
        <v>11</v>
      </c>
      <c r="G24" s="18" t="s">
        <v>5</v>
      </c>
      <c r="H24" s="18" t="s">
        <v>5</v>
      </c>
      <c r="I24" s="18" t="s">
        <v>5</v>
      </c>
      <c r="J24" s="18" t="s">
        <v>5</v>
      </c>
      <c r="K24" s="18" t="s">
        <v>5</v>
      </c>
      <c r="L24" s="12" t="s">
        <v>51</v>
      </c>
      <c r="M24" s="18" t="s">
        <v>5</v>
      </c>
      <c r="N24" s="12" t="s">
        <v>52</v>
      </c>
      <c r="O24" s="18" t="s">
        <v>5</v>
      </c>
      <c r="P24" s="18" t="s">
        <v>5</v>
      </c>
      <c r="Q24" s="18" t="s">
        <v>5</v>
      </c>
      <c r="R24" s="18" t="s">
        <v>5</v>
      </c>
      <c r="S24" s="12" t="s">
        <v>51</v>
      </c>
      <c r="T24" s="18" t="s">
        <v>5</v>
      </c>
      <c r="U24" s="18" t="s">
        <v>5</v>
      </c>
      <c r="V24" s="18" t="s">
        <v>5</v>
      </c>
      <c r="W24" s="18" t="s">
        <v>5</v>
      </c>
      <c r="X24" s="18" t="s">
        <v>5</v>
      </c>
      <c r="Y24" s="18" t="s">
        <v>5</v>
      </c>
      <c r="Z24" s="12" t="s">
        <v>51</v>
      </c>
      <c r="AA24" s="18" t="s">
        <v>5</v>
      </c>
      <c r="AB24" s="18" t="s">
        <v>5</v>
      </c>
      <c r="AC24" s="6" t="s">
        <v>11</v>
      </c>
      <c r="AD24" s="18" t="s">
        <v>5</v>
      </c>
      <c r="AE24" s="18" t="s">
        <v>5</v>
      </c>
      <c r="AF24" s="18" t="s">
        <v>5</v>
      </c>
      <c r="AG24" s="12" t="s">
        <v>51</v>
      </c>
      <c r="AH24" s="18" t="s">
        <v>5</v>
      </c>
      <c r="AI24" s="18" t="s">
        <v>5</v>
      </c>
      <c r="AJ24" s="12">
        <f t="shared" si="4"/>
        <v>23</v>
      </c>
      <c r="AK24" s="12">
        <f t="shared" si="5"/>
        <v>0</v>
      </c>
      <c r="AL24" s="12">
        <f t="shared" si="6"/>
        <v>2</v>
      </c>
      <c r="AM24" s="12">
        <f t="shared" si="2"/>
        <v>5</v>
      </c>
    </row>
    <row r="25" spans="1:39" x14ac:dyDescent="0.3">
      <c r="A25" s="9">
        <v>19</v>
      </c>
      <c r="B25" s="4">
        <v>156</v>
      </c>
      <c r="C25" s="23" t="s">
        <v>39</v>
      </c>
      <c r="D25" s="25">
        <v>33</v>
      </c>
      <c r="E25" s="12" t="s">
        <v>51</v>
      </c>
      <c r="F25" s="18" t="s">
        <v>5</v>
      </c>
      <c r="G25" s="18" t="s">
        <v>5</v>
      </c>
      <c r="H25" s="18" t="s">
        <v>5</v>
      </c>
      <c r="I25" s="18" t="s">
        <v>5</v>
      </c>
      <c r="J25" s="18" t="s">
        <v>5</v>
      </c>
      <c r="K25" s="18" t="s">
        <v>5</v>
      </c>
      <c r="L25" s="12" t="s">
        <v>51</v>
      </c>
      <c r="M25" s="18" t="s">
        <v>5</v>
      </c>
      <c r="N25" s="12" t="s">
        <v>52</v>
      </c>
      <c r="O25" s="18" t="s">
        <v>5</v>
      </c>
      <c r="P25" s="18" t="s">
        <v>5</v>
      </c>
      <c r="Q25" s="18" t="s">
        <v>5</v>
      </c>
      <c r="R25" s="18" t="s">
        <v>5</v>
      </c>
      <c r="S25" s="12" t="s">
        <v>51</v>
      </c>
      <c r="T25" s="18" t="s">
        <v>5</v>
      </c>
      <c r="U25" s="18" t="s">
        <v>5</v>
      </c>
      <c r="V25" s="18" t="s">
        <v>5</v>
      </c>
      <c r="W25" s="18" t="s">
        <v>5</v>
      </c>
      <c r="X25" s="18" t="s">
        <v>5</v>
      </c>
      <c r="Y25" s="18" t="s">
        <v>5</v>
      </c>
      <c r="Z25" s="12" t="s">
        <v>51</v>
      </c>
      <c r="AA25" s="18" t="s">
        <v>5</v>
      </c>
      <c r="AB25" s="18" t="s">
        <v>5</v>
      </c>
      <c r="AC25" s="18" t="s">
        <v>5</v>
      </c>
      <c r="AD25" s="18" t="s">
        <v>5</v>
      </c>
      <c r="AE25" s="18" t="s">
        <v>5</v>
      </c>
      <c r="AF25" s="18" t="s">
        <v>5</v>
      </c>
      <c r="AG25" s="12" t="s">
        <v>51</v>
      </c>
      <c r="AH25" s="18" t="s">
        <v>5</v>
      </c>
      <c r="AI25" s="18" t="s">
        <v>5</v>
      </c>
      <c r="AJ25" s="12">
        <f t="shared" si="4"/>
        <v>25</v>
      </c>
      <c r="AK25" s="12">
        <f t="shared" si="5"/>
        <v>0</v>
      </c>
      <c r="AL25" s="12">
        <f t="shared" si="6"/>
        <v>0</v>
      </c>
      <c r="AM25" s="12">
        <f t="shared" si="2"/>
        <v>5</v>
      </c>
    </row>
    <row r="26" spans="1:39" x14ac:dyDescent="0.3">
      <c r="A26" s="9">
        <v>20</v>
      </c>
      <c r="B26" s="4">
        <v>121</v>
      </c>
      <c r="C26" s="23" t="s">
        <v>40</v>
      </c>
      <c r="D26" s="25">
        <v>34</v>
      </c>
      <c r="E26" s="12" t="s">
        <v>51</v>
      </c>
      <c r="F26" s="18" t="s">
        <v>5</v>
      </c>
      <c r="G26" s="18" t="s">
        <v>5</v>
      </c>
      <c r="H26" s="18" t="s">
        <v>5</v>
      </c>
      <c r="I26" s="18" t="s">
        <v>5</v>
      </c>
      <c r="J26" s="18" t="s">
        <v>5</v>
      </c>
      <c r="K26" s="18" t="s">
        <v>5</v>
      </c>
      <c r="L26" s="12" t="s">
        <v>51</v>
      </c>
      <c r="M26" s="18" t="s">
        <v>5</v>
      </c>
      <c r="N26" s="12" t="s">
        <v>52</v>
      </c>
      <c r="O26" s="18" t="s">
        <v>5</v>
      </c>
      <c r="P26" s="18" t="s">
        <v>5</v>
      </c>
      <c r="Q26" s="18" t="s">
        <v>5</v>
      </c>
      <c r="R26" s="18" t="s">
        <v>5</v>
      </c>
      <c r="S26" s="12" t="s">
        <v>51</v>
      </c>
      <c r="T26" s="18" t="s">
        <v>5</v>
      </c>
      <c r="U26" s="18" t="s">
        <v>5</v>
      </c>
      <c r="V26" s="18" t="s">
        <v>5</v>
      </c>
      <c r="W26" s="18" t="s">
        <v>5</v>
      </c>
      <c r="X26" s="6" t="s">
        <v>10</v>
      </c>
      <c r="Y26" s="18" t="s">
        <v>5</v>
      </c>
      <c r="Z26" s="12" t="s">
        <v>51</v>
      </c>
      <c r="AA26" s="18" t="s">
        <v>5</v>
      </c>
      <c r="AB26" s="18" t="s">
        <v>5</v>
      </c>
      <c r="AC26" s="18" t="s">
        <v>5</v>
      </c>
      <c r="AD26" s="18" t="s">
        <v>5</v>
      </c>
      <c r="AE26" s="18" t="s">
        <v>5</v>
      </c>
      <c r="AF26" s="18" t="s">
        <v>5</v>
      </c>
      <c r="AG26" s="12" t="s">
        <v>51</v>
      </c>
      <c r="AH26" s="18" t="s">
        <v>5</v>
      </c>
      <c r="AI26" s="18" t="s">
        <v>5</v>
      </c>
      <c r="AJ26" s="12">
        <f t="shared" si="4"/>
        <v>24</v>
      </c>
      <c r="AK26" s="12">
        <f t="shared" si="5"/>
        <v>1</v>
      </c>
      <c r="AL26" s="12">
        <f t="shared" si="6"/>
        <v>0</v>
      </c>
      <c r="AM26" s="12">
        <f t="shared" si="2"/>
        <v>5</v>
      </c>
    </row>
    <row r="27" spans="1:39" x14ac:dyDescent="0.3">
      <c r="A27" s="9">
        <v>21</v>
      </c>
      <c r="B27" s="4">
        <v>772</v>
      </c>
      <c r="C27" s="23" t="s">
        <v>41</v>
      </c>
      <c r="D27" s="25">
        <v>35</v>
      </c>
      <c r="E27" s="12" t="s">
        <v>51</v>
      </c>
      <c r="F27" s="18" t="s">
        <v>5</v>
      </c>
      <c r="G27" s="18" t="s">
        <v>5</v>
      </c>
      <c r="H27" s="18" t="s">
        <v>5</v>
      </c>
      <c r="I27" s="18" t="s">
        <v>5</v>
      </c>
      <c r="J27" s="18" t="s">
        <v>5</v>
      </c>
      <c r="K27" s="18" t="s">
        <v>5</v>
      </c>
      <c r="L27" s="12" t="s">
        <v>51</v>
      </c>
      <c r="M27" s="18" t="s">
        <v>5</v>
      </c>
      <c r="N27" s="12" t="s">
        <v>52</v>
      </c>
      <c r="O27" s="18" t="s">
        <v>5</v>
      </c>
      <c r="P27" s="6" t="s">
        <v>11</v>
      </c>
      <c r="Q27" s="18" t="s">
        <v>5</v>
      </c>
      <c r="R27" s="18" t="s">
        <v>5</v>
      </c>
      <c r="S27" s="12" t="s">
        <v>51</v>
      </c>
      <c r="T27" s="18" t="s">
        <v>5</v>
      </c>
      <c r="U27" s="18" t="s">
        <v>5</v>
      </c>
      <c r="V27" s="18" t="s">
        <v>5</v>
      </c>
      <c r="W27" s="18" t="s">
        <v>5</v>
      </c>
      <c r="X27" s="18" t="s">
        <v>5</v>
      </c>
      <c r="Y27" s="18" t="s">
        <v>5</v>
      </c>
      <c r="Z27" s="12" t="s">
        <v>51</v>
      </c>
      <c r="AA27" s="18" t="s">
        <v>5</v>
      </c>
      <c r="AB27" s="6" t="s">
        <v>5</v>
      </c>
      <c r="AC27" s="18" t="s">
        <v>5</v>
      </c>
      <c r="AD27" s="18" t="s">
        <v>5</v>
      </c>
      <c r="AE27" s="18" t="s">
        <v>5</v>
      </c>
      <c r="AF27" s="18" t="s">
        <v>5</v>
      </c>
      <c r="AG27" s="12" t="s">
        <v>51</v>
      </c>
      <c r="AH27" s="18" t="s">
        <v>5</v>
      </c>
      <c r="AI27" s="18" t="s">
        <v>5</v>
      </c>
      <c r="AJ27" s="12">
        <f t="shared" si="4"/>
        <v>24</v>
      </c>
      <c r="AK27" s="12">
        <f t="shared" si="5"/>
        <v>0</v>
      </c>
      <c r="AL27" s="12">
        <f t="shared" si="6"/>
        <v>1</v>
      </c>
      <c r="AM27" s="12">
        <f t="shared" si="2"/>
        <v>4</v>
      </c>
    </row>
    <row r="28" spans="1:39" x14ac:dyDescent="0.3">
      <c r="A28" s="9">
        <v>22</v>
      </c>
      <c r="B28" s="4">
        <v>514</v>
      </c>
      <c r="C28" s="23" t="s">
        <v>42</v>
      </c>
      <c r="D28" s="25">
        <v>36</v>
      </c>
      <c r="E28" s="12" t="s">
        <v>51</v>
      </c>
      <c r="F28" s="18" t="s">
        <v>5</v>
      </c>
      <c r="G28" s="18" t="s">
        <v>5</v>
      </c>
      <c r="H28" s="18" t="s">
        <v>5</v>
      </c>
      <c r="I28" s="6" t="s">
        <v>11</v>
      </c>
      <c r="J28" s="18" t="s">
        <v>5</v>
      </c>
      <c r="K28" s="18" t="s">
        <v>5</v>
      </c>
      <c r="L28" s="12" t="s">
        <v>51</v>
      </c>
      <c r="M28" s="18" t="s">
        <v>5</v>
      </c>
      <c r="N28" s="12" t="s">
        <v>52</v>
      </c>
      <c r="O28" s="18" t="s">
        <v>5</v>
      </c>
      <c r="P28" s="18" t="s">
        <v>5</v>
      </c>
      <c r="Q28" s="18" t="s">
        <v>5</v>
      </c>
      <c r="R28" s="18" t="s">
        <v>5</v>
      </c>
      <c r="S28" s="12" t="s">
        <v>51</v>
      </c>
      <c r="T28" s="18" t="s">
        <v>5</v>
      </c>
      <c r="U28" s="6" t="s">
        <v>11</v>
      </c>
      <c r="V28" s="18" t="s">
        <v>5</v>
      </c>
      <c r="W28" s="18" t="s">
        <v>5</v>
      </c>
      <c r="X28" s="18" t="s">
        <v>5</v>
      </c>
      <c r="Y28" s="18" t="s">
        <v>5</v>
      </c>
      <c r="Z28" s="12" t="s">
        <v>51</v>
      </c>
      <c r="AA28" s="18" t="s">
        <v>5</v>
      </c>
      <c r="AB28" s="18" t="s">
        <v>5</v>
      </c>
      <c r="AC28" s="18" t="s">
        <v>5</v>
      </c>
      <c r="AD28" s="18" t="s">
        <v>5</v>
      </c>
      <c r="AE28" s="18" t="s">
        <v>5</v>
      </c>
      <c r="AF28" s="18" t="s">
        <v>5</v>
      </c>
      <c r="AG28" s="12" t="s">
        <v>51</v>
      </c>
      <c r="AH28" s="18" t="s">
        <v>5</v>
      </c>
      <c r="AI28" s="18" t="s">
        <v>5</v>
      </c>
      <c r="AJ28" s="12">
        <f t="shared" si="4"/>
        <v>23</v>
      </c>
      <c r="AK28" s="12">
        <f t="shared" si="5"/>
        <v>0</v>
      </c>
      <c r="AL28" s="12">
        <f t="shared" si="6"/>
        <v>2</v>
      </c>
      <c r="AM28" s="12">
        <f t="shared" si="2"/>
        <v>5</v>
      </c>
    </row>
    <row r="29" spans="1:39" x14ac:dyDescent="0.3">
      <c r="A29" s="9">
        <v>23</v>
      </c>
      <c r="B29" s="4">
        <v>258</v>
      </c>
      <c r="C29" s="23" t="s">
        <v>43</v>
      </c>
      <c r="D29" s="25">
        <v>37</v>
      </c>
      <c r="E29" s="12" t="s">
        <v>51</v>
      </c>
      <c r="F29" s="18" t="s">
        <v>5</v>
      </c>
      <c r="G29" s="18" t="s">
        <v>5</v>
      </c>
      <c r="H29" s="18" t="s">
        <v>5</v>
      </c>
      <c r="I29" s="18" t="s">
        <v>5</v>
      </c>
      <c r="J29" s="18" t="s">
        <v>5</v>
      </c>
      <c r="K29" s="18" t="s">
        <v>5</v>
      </c>
      <c r="L29" s="12" t="s">
        <v>51</v>
      </c>
      <c r="M29" s="18" t="s">
        <v>5</v>
      </c>
      <c r="N29" s="12" t="s">
        <v>52</v>
      </c>
      <c r="O29" s="18" t="s">
        <v>5</v>
      </c>
      <c r="P29" s="18" t="s">
        <v>5</v>
      </c>
      <c r="Q29" s="18" t="s">
        <v>5</v>
      </c>
      <c r="R29" s="18" t="s">
        <v>5</v>
      </c>
      <c r="S29" s="12" t="s">
        <v>51</v>
      </c>
      <c r="T29" s="18" t="s">
        <v>5</v>
      </c>
      <c r="U29" s="18" t="s">
        <v>5</v>
      </c>
      <c r="V29" s="18" t="s">
        <v>5</v>
      </c>
      <c r="W29" s="18" t="s">
        <v>5</v>
      </c>
      <c r="X29" s="18" t="s">
        <v>5</v>
      </c>
      <c r="Y29" s="18" t="s">
        <v>5</v>
      </c>
      <c r="Z29" s="12" t="s">
        <v>51</v>
      </c>
      <c r="AA29" s="18" t="s">
        <v>5</v>
      </c>
      <c r="AB29" s="6" t="s">
        <v>11</v>
      </c>
      <c r="AC29" s="18" t="s">
        <v>5</v>
      </c>
      <c r="AD29" s="6" t="s">
        <v>5</v>
      </c>
      <c r="AE29" s="18" t="s">
        <v>5</v>
      </c>
      <c r="AF29" s="18" t="s">
        <v>5</v>
      </c>
      <c r="AG29" s="12" t="s">
        <v>51</v>
      </c>
      <c r="AH29" s="18" t="s">
        <v>5</v>
      </c>
      <c r="AI29" s="18" t="s">
        <v>5</v>
      </c>
      <c r="AJ29" s="12">
        <f t="shared" si="4"/>
        <v>24</v>
      </c>
      <c r="AK29" s="12">
        <f t="shared" si="5"/>
        <v>0</v>
      </c>
      <c r="AL29" s="12">
        <f t="shared" si="6"/>
        <v>1</v>
      </c>
      <c r="AM29" s="12">
        <f t="shared" si="2"/>
        <v>5</v>
      </c>
    </row>
    <row r="30" spans="1:39" x14ac:dyDescent="0.3">
      <c r="A30" s="9">
        <v>24</v>
      </c>
      <c r="B30" s="4">
        <v>119</v>
      </c>
      <c r="C30" s="23" t="s">
        <v>44</v>
      </c>
      <c r="D30" s="25">
        <v>38</v>
      </c>
      <c r="E30" s="12" t="s">
        <v>51</v>
      </c>
      <c r="F30" s="18" t="s">
        <v>5</v>
      </c>
      <c r="G30" s="18" t="s">
        <v>5</v>
      </c>
      <c r="H30" s="18" t="s">
        <v>5</v>
      </c>
      <c r="I30" s="18" t="s">
        <v>5</v>
      </c>
      <c r="J30" s="18" t="s">
        <v>5</v>
      </c>
      <c r="K30" s="18" t="s">
        <v>5</v>
      </c>
      <c r="L30" s="12" t="s">
        <v>51</v>
      </c>
      <c r="M30" s="18" t="s">
        <v>5</v>
      </c>
      <c r="N30" s="12" t="s">
        <v>52</v>
      </c>
      <c r="O30" s="18" t="s">
        <v>5</v>
      </c>
      <c r="P30" s="18" t="s">
        <v>5</v>
      </c>
      <c r="Q30" s="18" t="s">
        <v>5</v>
      </c>
      <c r="R30" s="18" t="s">
        <v>5</v>
      </c>
      <c r="S30" s="12" t="s">
        <v>51</v>
      </c>
      <c r="T30" s="18" t="s">
        <v>5</v>
      </c>
      <c r="U30" s="18" t="s">
        <v>5</v>
      </c>
      <c r="V30" s="18" t="s">
        <v>5</v>
      </c>
      <c r="W30" s="18" t="s">
        <v>5</v>
      </c>
      <c r="X30" s="18" t="s">
        <v>5</v>
      </c>
      <c r="Y30" s="18" t="s">
        <v>5</v>
      </c>
      <c r="Z30" s="12" t="s">
        <v>51</v>
      </c>
      <c r="AA30" s="18" t="s">
        <v>5</v>
      </c>
      <c r="AB30" s="18" t="s">
        <v>5</v>
      </c>
      <c r="AC30" s="18" t="s">
        <v>5</v>
      </c>
      <c r="AD30" s="18" t="s">
        <v>5</v>
      </c>
      <c r="AE30" s="6" t="s">
        <v>11</v>
      </c>
      <c r="AF30" s="18" t="s">
        <v>5</v>
      </c>
      <c r="AG30" s="12" t="s">
        <v>51</v>
      </c>
      <c r="AH30" s="18" t="s">
        <v>5</v>
      </c>
      <c r="AI30" s="18" t="s">
        <v>5</v>
      </c>
      <c r="AJ30" s="12">
        <f t="shared" si="4"/>
        <v>24</v>
      </c>
      <c r="AK30" s="12">
        <f t="shared" si="5"/>
        <v>0</v>
      </c>
      <c r="AL30" s="12">
        <f t="shared" si="6"/>
        <v>1</v>
      </c>
      <c r="AM30" s="12">
        <f t="shared" si="2"/>
        <v>5</v>
      </c>
    </row>
    <row r="31" spans="1:39" x14ac:dyDescent="0.3">
      <c r="A31" s="9">
        <v>25</v>
      </c>
      <c r="B31" s="4">
        <v>455</v>
      </c>
      <c r="C31" s="23" t="s">
        <v>45</v>
      </c>
      <c r="D31" s="25">
        <v>39</v>
      </c>
      <c r="E31" s="12" t="s">
        <v>51</v>
      </c>
      <c r="F31" s="18" t="s">
        <v>5</v>
      </c>
      <c r="G31" s="6" t="s">
        <v>11</v>
      </c>
      <c r="H31" s="18" t="s">
        <v>5</v>
      </c>
      <c r="I31" s="18" t="s">
        <v>5</v>
      </c>
      <c r="J31" s="18" t="s">
        <v>5</v>
      </c>
      <c r="K31" s="18" t="s">
        <v>5</v>
      </c>
      <c r="L31" s="12" t="s">
        <v>51</v>
      </c>
      <c r="M31" s="18" t="s">
        <v>5</v>
      </c>
      <c r="N31" s="12" t="s">
        <v>52</v>
      </c>
      <c r="O31" s="18" t="s">
        <v>5</v>
      </c>
      <c r="P31" s="18" t="s">
        <v>5</v>
      </c>
      <c r="Q31" s="18" t="s">
        <v>5</v>
      </c>
      <c r="R31" s="18" t="s">
        <v>5</v>
      </c>
      <c r="S31" s="12" t="s">
        <v>51</v>
      </c>
      <c r="T31" s="18" t="s">
        <v>5</v>
      </c>
      <c r="U31" s="18" t="s">
        <v>5</v>
      </c>
      <c r="V31" s="18" t="s">
        <v>5</v>
      </c>
      <c r="W31" s="18" t="s">
        <v>5</v>
      </c>
      <c r="X31" s="18" t="s">
        <v>5</v>
      </c>
      <c r="Y31" s="18" t="s">
        <v>5</v>
      </c>
      <c r="Z31" s="12" t="s">
        <v>51</v>
      </c>
      <c r="AA31" s="18" t="s">
        <v>5</v>
      </c>
      <c r="AB31" s="18" t="s">
        <v>5</v>
      </c>
      <c r="AC31" s="18" t="s">
        <v>5</v>
      </c>
      <c r="AD31" s="18" t="s">
        <v>5</v>
      </c>
      <c r="AE31" s="18" t="s">
        <v>5</v>
      </c>
      <c r="AF31" s="18" t="s">
        <v>5</v>
      </c>
      <c r="AG31" s="12" t="s">
        <v>51</v>
      </c>
      <c r="AH31" s="18" t="s">
        <v>5</v>
      </c>
      <c r="AI31" s="18" t="s">
        <v>5</v>
      </c>
      <c r="AJ31" s="12">
        <f t="shared" si="4"/>
        <v>24</v>
      </c>
      <c r="AK31" s="12">
        <f t="shared" si="5"/>
        <v>0</v>
      </c>
      <c r="AL31" s="12">
        <f t="shared" si="6"/>
        <v>1</v>
      </c>
      <c r="AM31" s="12">
        <f t="shared" si="2"/>
        <v>5</v>
      </c>
    </row>
    <row r="32" spans="1:39" x14ac:dyDescent="0.3">
      <c r="A32" s="9">
        <v>26</v>
      </c>
      <c r="B32" s="4">
        <v>272</v>
      </c>
      <c r="C32" s="23" t="s">
        <v>46</v>
      </c>
      <c r="D32" s="25">
        <v>40</v>
      </c>
      <c r="E32" s="12" t="s">
        <v>51</v>
      </c>
      <c r="F32" s="18" t="s">
        <v>5</v>
      </c>
      <c r="G32" s="18" t="s">
        <v>5</v>
      </c>
      <c r="H32" s="18" t="s">
        <v>5</v>
      </c>
      <c r="I32" s="18" t="s">
        <v>5</v>
      </c>
      <c r="J32" s="18" t="s">
        <v>5</v>
      </c>
      <c r="K32" s="18" t="s">
        <v>5</v>
      </c>
      <c r="L32" s="12" t="s">
        <v>51</v>
      </c>
      <c r="M32" s="18" t="s">
        <v>5</v>
      </c>
      <c r="N32" s="12" t="s">
        <v>52</v>
      </c>
      <c r="O32" s="18" t="s">
        <v>5</v>
      </c>
      <c r="P32" s="18" t="s">
        <v>5</v>
      </c>
      <c r="Q32" s="6" t="s">
        <v>11</v>
      </c>
      <c r="R32" s="6" t="s">
        <v>10</v>
      </c>
      <c r="S32" s="12" t="s">
        <v>51</v>
      </c>
      <c r="T32" s="18" t="s">
        <v>5</v>
      </c>
      <c r="U32" s="18" t="s">
        <v>5</v>
      </c>
      <c r="V32" s="18" t="s">
        <v>5</v>
      </c>
      <c r="W32" s="18" t="s">
        <v>5</v>
      </c>
      <c r="X32" s="18" t="s">
        <v>5</v>
      </c>
      <c r="Y32" s="18" t="s">
        <v>5</v>
      </c>
      <c r="Z32" s="12" t="s">
        <v>51</v>
      </c>
      <c r="AA32" s="18" t="s">
        <v>5</v>
      </c>
      <c r="AB32" s="18" t="s">
        <v>5</v>
      </c>
      <c r="AC32" s="18" t="s">
        <v>5</v>
      </c>
      <c r="AD32" s="18" t="s">
        <v>5</v>
      </c>
      <c r="AE32" s="18" t="s">
        <v>5</v>
      </c>
      <c r="AF32" s="18" t="s">
        <v>5</v>
      </c>
      <c r="AG32" s="12" t="s">
        <v>51</v>
      </c>
      <c r="AH32" s="6" t="s">
        <v>11</v>
      </c>
      <c r="AI32" s="6" t="s">
        <v>10</v>
      </c>
      <c r="AJ32" s="12">
        <f t="shared" si="4"/>
        <v>21</v>
      </c>
      <c r="AK32" s="12">
        <f t="shared" si="5"/>
        <v>2</v>
      </c>
      <c r="AL32" s="12">
        <f t="shared" si="6"/>
        <v>2</v>
      </c>
      <c r="AM32" s="12">
        <f t="shared" si="2"/>
        <v>3</v>
      </c>
    </row>
    <row r="33" spans="1:39" x14ac:dyDescent="0.3">
      <c r="A33" s="9">
        <v>27</v>
      </c>
      <c r="B33" s="4">
        <v>841</v>
      </c>
      <c r="C33" s="23" t="s">
        <v>47</v>
      </c>
      <c r="D33" s="25">
        <v>41</v>
      </c>
      <c r="E33" s="12" t="s">
        <v>51</v>
      </c>
      <c r="F33" s="18" t="s">
        <v>5</v>
      </c>
      <c r="G33" s="18" t="s">
        <v>5</v>
      </c>
      <c r="H33" s="18" t="s">
        <v>5</v>
      </c>
      <c r="I33" s="18" t="s">
        <v>5</v>
      </c>
      <c r="J33" s="6" t="s">
        <v>11</v>
      </c>
      <c r="K33" s="6" t="s">
        <v>10</v>
      </c>
      <c r="L33" s="12" t="s">
        <v>51</v>
      </c>
      <c r="M33" s="18" t="s">
        <v>5</v>
      </c>
      <c r="N33" s="12" t="s">
        <v>52</v>
      </c>
      <c r="O33" s="18" t="s">
        <v>5</v>
      </c>
      <c r="P33" s="18" t="s">
        <v>5</v>
      </c>
      <c r="Q33" s="18" t="s">
        <v>5</v>
      </c>
      <c r="R33" s="18" t="s">
        <v>5</v>
      </c>
      <c r="S33" s="12" t="s">
        <v>51</v>
      </c>
      <c r="T33" s="18" t="s">
        <v>5</v>
      </c>
      <c r="U33" s="18" t="s">
        <v>5</v>
      </c>
      <c r="V33" s="6" t="s">
        <v>11</v>
      </c>
      <c r="W33" s="6" t="s">
        <v>10</v>
      </c>
      <c r="X33" s="18" t="s">
        <v>5</v>
      </c>
      <c r="Y33" s="18" t="s">
        <v>5</v>
      </c>
      <c r="Z33" s="12" t="s">
        <v>51</v>
      </c>
      <c r="AA33" s="18" t="s">
        <v>5</v>
      </c>
      <c r="AB33" s="18" t="s">
        <v>5</v>
      </c>
      <c r="AC33" s="18" t="s">
        <v>5</v>
      </c>
      <c r="AD33" s="18" t="s">
        <v>5</v>
      </c>
      <c r="AE33" s="6" t="s">
        <v>10</v>
      </c>
      <c r="AF33" s="18" t="s">
        <v>5</v>
      </c>
      <c r="AG33" s="12" t="s">
        <v>51</v>
      </c>
      <c r="AH33" s="18" t="s">
        <v>5</v>
      </c>
      <c r="AI33" s="18" t="s">
        <v>5</v>
      </c>
      <c r="AJ33" s="12">
        <f t="shared" si="4"/>
        <v>20</v>
      </c>
      <c r="AK33" s="12">
        <f t="shared" si="5"/>
        <v>3</v>
      </c>
      <c r="AL33" s="12">
        <f t="shared" si="6"/>
        <v>2</v>
      </c>
      <c r="AM33" s="12">
        <f t="shared" si="2"/>
        <v>5</v>
      </c>
    </row>
    <row r="34" spans="1:39" x14ac:dyDescent="0.3">
      <c r="A34" s="9">
        <v>28</v>
      </c>
      <c r="B34" s="4">
        <v>875</v>
      </c>
      <c r="C34" s="23" t="s">
        <v>48</v>
      </c>
      <c r="D34" s="25">
        <v>42</v>
      </c>
      <c r="E34" s="12" t="s">
        <v>51</v>
      </c>
      <c r="F34" s="18" t="s">
        <v>5</v>
      </c>
      <c r="G34" s="6" t="s">
        <v>10</v>
      </c>
      <c r="H34" s="18" t="s">
        <v>5</v>
      </c>
      <c r="I34" s="18" t="s">
        <v>5</v>
      </c>
      <c r="J34" s="18" t="s">
        <v>5</v>
      </c>
      <c r="K34" s="18" t="s">
        <v>5</v>
      </c>
      <c r="L34" s="12" t="s">
        <v>51</v>
      </c>
      <c r="M34" s="18" t="s">
        <v>5</v>
      </c>
      <c r="N34" s="12" t="s">
        <v>52</v>
      </c>
      <c r="O34" s="18" t="s">
        <v>5</v>
      </c>
      <c r="P34" s="18" t="s">
        <v>5</v>
      </c>
      <c r="Q34" s="18" t="s">
        <v>5</v>
      </c>
      <c r="R34" s="18" t="s">
        <v>5</v>
      </c>
      <c r="S34" s="12" t="s">
        <v>51</v>
      </c>
      <c r="T34" s="18" t="s">
        <v>5</v>
      </c>
      <c r="U34" s="18" t="s">
        <v>5</v>
      </c>
      <c r="V34" s="18" t="s">
        <v>5</v>
      </c>
      <c r="W34" s="18" t="s">
        <v>5</v>
      </c>
      <c r="X34" s="18" t="s">
        <v>5</v>
      </c>
      <c r="Y34" s="18" t="s">
        <v>5</v>
      </c>
      <c r="Z34" s="12" t="s">
        <v>51</v>
      </c>
      <c r="AA34" s="18" t="s">
        <v>5</v>
      </c>
      <c r="AB34" s="18" t="s">
        <v>5</v>
      </c>
      <c r="AC34" s="6" t="s">
        <v>11</v>
      </c>
      <c r="AD34" s="18" t="s">
        <v>5</v>
      </c>
      <c r="AE34" s="18" t="s">
        <v>5</v>
      </c>
      <c r="AF34" s="18" t="s">
        <v>5</v>
      </c>
      <c r="AG34" s="12" t="s">
        <v>51</v>
      </c>
      <c r="AH34" s="18" t="s">
        <v>5</v>
      </c>
      <c r="AI34" s="18" t="s">
        <v>5</v>
      </c>
      <c r="AJ34" s="12">
        <f t="shared" si="4"/>
        <v>23</v>
      </c>
      <c r="AK34" s="12">
        <f t="shared" si="5"/>
        <v>1</v>
      </c>
      <c r="AL34" s="12">
        <f t="shared" si="6"/>
        <v>1</v>
      </c>
      <c r="AM34" s="12">
        <f t="shared" si="2"/>
        <v>5</v>
      </c>
    </row>
    <row r="35" spans="1:39" x14ac:dyDescent="0.3">
      <c r="A35" s="9">
        <v>29</v>
      </c>
      <c r="B35" s="4">
        <v>536</v>
      </c>
      <c r="C35" s="23" t="s">
        <v>49</v>
      </c>
      <c r="D35" s="25">
        <v>43</v>
      </c>
      <c r="E35" s="12" t="s">
        <v>51</v>
      </c>
      <c r="F35" s="18" t="s">
        <v>5</v>
      </c>
      <c r="G35" s="18" t="s">
        <v>5</v>
      </c>
      <c r="H35" s="18" t="s">
        <v>5</v>
      </c>
      <c r="I35" s="18" t="s">
        <v>5</v>
      </c>
      <c r="J35" s="18" t="s">
        <v>5</v>
      </c>
      <c r="K35" s="18" t="s">
        <v>5</v>
      </c>
      <c r="L35" s="12" t="s">
        <v>51</v>
      </c>
      <c r="M35" s="18" t="s">
        <v>5</v>
      </c>
      <c r="N35" s="12" t="s">
        <v>52</v>
      </c>
      <c r="O35" s="6" t="s">
        <v>11</v>
      </c>
      <c r="P35" s="18" t="s">
        <v>5</v>
      </c>
      <c r="Q35" s="18" t="s">
        <v>5</v>
      </c>
      <c r="R35" s="18" t="s">
        <v>5</v>
      </c>
      <c r="S35" s="12" t="s">
        <v>51</v>
      </c>
      <c r="T35" s="18" t="s">
        <v>5</v>
      </c>
      <c r="U35" s="18" t="s">
        <v>5</v>
      </c>
      <c r="V35" s="18" t="s">
        <v>5</v>
      </c>
      <c r="W35" s="18" t="s">
        <v>5</v>
      </c>
      <c r="X35" s="18" t="s">
        <v>5</v>
      </c>
      <c r="Y35" s="18" t="s">
        <v>5</v>
      </c>
      <c r="Z35" s="12" t="s">
        <v>51</v>
      </c>
      <c r="AA35" s="18" t="s">
        <v>5</v>
      </c>
      <c r="AB35" s="18" t="s">
        <v>5</v>
      </c>
      <c r="AC35" s="18" t="s">
        <v>5</v>
      </c>
      <c r="AD35" s="18" t="s">
        <v>5</v>
      </c>
      <c r="AE35" s="18" t="s">
        <v>5</v>
      </c>
      <c r="AF35" s="6" t="s">
        <v>11</v>
      </c>
      <c r="AG35" s="12" t="s">
        <v>51</v>
      </c>
      <c r="AH35" s="18" t="s">
        <v>5</v>
      </c>
      <c r="AI35" s="18" t="s">
        <v>5</v>
      </c>
      <c r="AJ35" s="12">
        <f t="shared" si="4"/>
        <v>23</v>
      </c>
      <c r="AK35" s="12">
        <f t="shared" si="5"/>
        <v>0</v>
      </c>
      <c r="AL35" s="12">
        <f t="shared" si="6"/>
        <v>2</v>
      </c>
      <c r="AM35" s="12">
        <f t="shared" si="2"/>
        <v>4</v>
      </c>
    </row>
    <row r="36" spans="1:39" x14ac:dyDescent="0.3">
      <c r="A36" s="9">
        <v>30</v>
      </c>
      <c r="B36" s="4">
        <v>900</v>
      </c>
      <c r="C36" s="23" t="s">
        <v>50</v>
      </c>
      <c r="D36" s="25">
        <v>44</v>
      </c>
      <c r="E36" s="12" t="s">
        <v>51</v>
      </c>
      <c r="F36" s="18" t="s">
        <v>5</v>
      </c>
      <c r="G36" s="18" t="s">
        <v>5</v>
      </c>
      <c r="H36" s="6" t="s">
        <v>11</v>
      </c>
      <c r="I36" s="18" t="s">
        <v>5</v>
      </c>
      <c r="J36" s="18" t="s">
        <v>5</v>
      </c>
      <c r="K36" s="18" t="s">
        <v>5</v>
      </c>
      <c r="L36" s="12" t="s">
        <v>51</v>
      </c>
      <c r="M36" s="18" t="s">
        <v>5</v>
      </c>
      <c r="N36" s="12" t="s">
        <v>52</v>
      </c>
      <c r="O36" s="18" t="s">
        <v>5</v>
      </c>
      <c r="P36" s="18" t="s">
        <v>5</v>
      </c>
      <c r="Q36" s="18" t="s">
        <v>5</v>
      </c>
      <c r="R36" s="18" t="s">
        <v>5</v>
      </c>
      <c r="S36" s="12" t="s">
        <v>51</v>
      </c>
      <c r="T36" s="6" t="s">
        <v>11</v>
      </c>
      <c r="U36" s="18" t="s">
        <v>5</v>
      </c>
      <c r="V36" s="18" t="s">
        <v>5</v>
      </c>
      <c r="W36" s="18" t="s">
        <v>5</v>
      </c>
      <c r="X36" s="18" t="s">
        <v>5</v>
      </c>
      <c r="Y36" s="18" t="s">
        <v>5</v>
      </c>
      <c r="Z36" s="12" t="s">
        <v>51</v>
      </c>
      <c r="AA36" s="18" t="s">
        <v>5</v>
      </c>
      <c r="AB36" s="18" t="s">
        <v>5</v>
      </c>
      <c r="AC36" s="18" t="s">
        <v>5</v>
      </c>
      <c r="AD36" s="18" t="s">
        <v>5</v>
      </c>
      <c r="AE36" s="18" t="s">
        <v>5</v>
      </c>
      <c r="AF36" s="18" t="s">
        <v>5</v>
      </c>
      <c r="AG36" s="12" t="s">
        <v>51</v>
      </c>
      <c r="AH36" s="18" t="s">
        <v>5</v>
      </c>
      <c r="AI36" s="18" t="s">
        <v>5</v>
      </c>
      <c r="AJ36" s="12">
        <f t="shared" si="4"/>
        <v>23</v>
      </c>
      <c r="AK36" s="12">
        <f t="shared" si="5"/>
        <v>0</v>
      </c>
      <c r="AL36" s="12">
        <f t="shared" si="6"/>
        <v>2</v>
      </c>
      <c r="AM36" s="12">
        <f t="shared" si="2"/>
        <v>5</v>
      </c>
    </row>
  </sheetData>
  <mergeCells count="1">
    <mergeCell ref="AO6:AP6"/>
  </mergeCells>
  <conditionalFormatting sqref="H1:AI2 E3:AI6 U12 P10 I10:I12 K10:K11 K14 T13:X15 H15 J15:K16 V16:Y16 T17:Y17 AE10 U18:Y18 AC18 V19:Y20 G17 G10:G12 I17:K18 F21 H21 AB21 T21 T23 AD22 F22:H23 J23 V23:Y23 F24 G26:K26 X26:Y26 AB27 U28:Y28 AB29 AD29 T24:Y25 G28:I28 G30:K30 G31 V33:Y33 E33:K33 E34:G34 AC34 E37:AI1048576 E36:K36 M36:R36 M33 M30 M16 M11 M10:N10 E7:K9 M7:R9 T7:Y9 T36:Y36 AA36:AF36 AA7:AF9 AA33:AD33 AA28:AB28 AA25:AB26 AA24:AC24 AA23 AA19:AB20 AA16:AA18 AH7:AI9 AH36:AI36 E7:E36 N7:N36">
    <cfRule type="cellIs" dxfId="74" priority="70" operator="equal">
      <formula>"A"</formula>
    </cfRule>
    <cfRule type="cellIs" dxfId="73" priority="71" operator="equal">
      <formula>"L"</formula>
    </cfRule>
    <cfRule type="cellIs" dxfId="72" priority="72" operator="equal">
      <formula>"P"</formula>
    </cfRule>
    <cfRule type="cellIs" dxfId="71" priority="73" operator="equal">
      <formula>"A"</formula>
    </cfRule>
    <cfRule type="cellIs" dxfId="70" priority="74" operator="equal">
      <formula>"L"</formula>
    </cfRule>
    <cfRule type="cellIs" dxfId="69" priority="75" operator="equal">
      <formula>"P"</formula>
    </cfRule>
  </conditionalFormatting>
  <conditionalFormatting sqref="AF20 AE11 AI13 AF14 AH15 AE16 AF35 AE30 AF22 AH22 AH32:AI32 AE33">
    <cfRule type="cellIs" dxfId="68" priority="64" operator="equal">
      <formula>"A"</formula>
    </cfRule>
    <cfRule type="cellIs" dxfId="67" priority="65" operator="equal">
      <formula>"L"</formula>
    </cfRule>
    <cfRule type="cellIs" dxfId="66" priority="66" operator="equal">
      <formula>"P"</formula>
    </cfRule>
    <cfRule type="cellIs" dxfId="65" priority="67" operator="equal">
      <formula>"A"</formula>
    </cfRule>
    <cfRule type="cellIs" dxfId="64" priority="68" operator="equal">
      <formula>"L"</formula>
    </cfRule>
    <cfRule type="cellIs" dxfId="63" priority="69" operator="equal">
      <formula>"P"</formula>
    </cfRule>
  </conditionalFormatting>
  <conditionalFormatting sqref="O35 N11 P11 R13 O14 Q15 N16 O20 P17 O22 Q22 P27 N30 Q32:R32 N33">
    <cfRule type="cellIs" dxfId="62" priority="58" operator="equal">
      <formula>"A"</formula>
    </cfRule>
    <cfRule type="cellIs" dxfId="61" priority="59" operator="equal">
      <formula>"L"</formula>
    </cfRule>
    <cfRule type="cellIs" dxfId="60" priority="60" operator="equal">
      <formula>"P"</formula>
    </cfRule>
    <cfRule type="cellIs" dxfId="59" priority="61" operator="equal">
      <formula>"A"</formula>
    </cfRule>
    <cfRule type="cellIs" dxfId="58" priority="62" operator="equal">
      <formula>"L"</formula>
    </cfRule>
    <cfRule type="cellIs" dxfId="57" priority="63" operator="equal">
      <formula>"P"</formula>
    </cfRule>
  </conditionalFormatting>
  <conditionalFormatting sqref="P35:R35 E35:K35 AD34:AF34 H34:K34 AH33:AI35 AF23:AF33 O33:R33 E32:K32 H31:K31 F25:F31 O30:R30 E29:E30 AE17:AE29 AC25:AC29 G29:K29 AD23:AD28 J28:K28 Q27:R27 G27:K27 E18:E27 G24:K25 AH23:AI31 U19:U23 K23 I19:I23 AI14:AI22 AB22:AC23 R22 P18:P22 AH16:AH21 AF21 V21:Y22 G18:G21 H16:H20 F10:F20 AF15:AF19 AC19:AD21 J19:K22 AD10:AD18 AB10:AB18 AC10:AC17 Q17:R21 O16:R16 I13:I16 G13:G16 E15:E16 AE12:AE15 R15 M15:P15 AH10:AH14 P14:R14 M14:N14 J10:J14 H10:H14 AF10:AF13 E11:E13 AI10:AI12 K12:K13 O10:O11 Y10:Y15 V10:X12 Q10:R11 M12:R12 M13:Q13 M17:O19 M20:N20 M21:O21 M22:N22 M23:R26 M27:O27 M28:R29 M31:R31 M32:P32 M34:R34 M35:N35 T28 T12 T10:U11 T16:U16 T18:T20 T22 T26:W26 T27:Y27 T29:Y32 T33:U33 T34:Y35 AA35:AE35 AA30:AD30 AA27 AA29 AA34:AB34 AA10:AA15 AA21:AA22 AA31:AE32">
    <cfRule type="cellIs" dxfId="56" priority="52" operator="equal">
      <formula>"A"</formula>
    </cfRule>
    <cfRule type="cellIs" dxfId="55" priority="53" operator="equal">
      <formula>"L"</formula>
    </cfRule>
    <cfRule type="cellIs" dxfId="54" priority="54" operator="equal">
      <formula>"P"</formula>
    </cfRule>
    <cfRule type="cellIs" dxfId="53" priority="55" operator="equal">
      <formula>"A"</formula>
    </cfRule>
    <cfRule type="cellIs" dxfId="52" priority="56" operator="equal">
      <formula>"L"</formula>
    </cfRule>
    <cfRule type="cellIs" dxfId="51" priority="57" operator="equal">
      <formula>"P"</formula>
    </cfRule>
  </conditionalFormatting>
  <conditionalFormatting sqref="L7:L36">
    <cfRule type="cellIs" dxfId="50" priority="46" operator="equal">
      <formula>"A"</formula>
    </cfRule>
    <cfRule type="cellIs" dxfId="49" priority="47" operator="equal">
      <formula>"L"</formula>
    </cfRule>
    <cfRule type="cellIs" dxfId="48" priority="48" operator="equal">
      <formula>"P"</formula>
    </cfRule>
    <cfRule type="cellIs" dxfId="47" priority="49" operator="equal">
      <formula>"A"</formula>
    </cfRule>
    <cfRule type="cellIs" dxfId="46" priority="50" operator="equal">
      <formula>"L"</formula>
    </cfRule>
    <cfRule type="cellIs" dxfId="45" priority="51" operator="equal">
      <formula>"P"</formula>
    </cfRule>
  </conditionalFormatting>
  <conditionalFormatting sqref="S7:S36">
    <cfRule type="cellIs" dxfId="44" priority="40" operator="equal">
      <formula>"A"</formula>
    </cfRule>
    <cfRule type="cellIs" dxfId="43" priority="41" operator="equal">
      <formula>"L"</formula>
    </cfRule>
    <cfRule type="cellIs" dxfId="42" priority="42" operator="equal">
      <formula>"P"</formula>
    </cfRule>
    <cfRule type="cellIs" dxfId="41" priority="43" operator="equal">
      <formula>"A"</formula>
    </cfRule>
    <cfRule type="cellIs" dxfId="40" priority="44" operator="equal">
      <formula>"L"</formula>
    </cfRule>
    <cfRule type="cellIs" dxfId="39" priority="45" operator="equal">
      <formula>"P"</formula>
    </cfRule>
  </conditionalFormatting>
  <conditionalFormatting sqref="Z7:Z36">
    <cfRule type="cellIs" dxfId="38" priority="34" operator="equal">
      <formula>"A"</formula>
    </cfRule>
    <cfRule type="cellIs" dxfId="37" priority="35" operator="equal">
      <formula>"L"</formula>
    </cfRule>
    <cfRule type="cellIs" dxfId="36" priority="36" operator="equal">
      <formula>"P"</formula>
    </cfRule>
    <cfRule type="cellIs" dxfId="35" priority="37" operator="equal">
      <formula>"A"</formula>
    </cfRule>
    <cfRule type="cellIs" dxfId="34" priority="38" operator="equal">
      <formula>"L"</formula>
    </cfRule>
    <cfRule type="cellIs" dxfId="33" priority="39" operator="equal">
      <formula>"P"</formula>
    </cfRule>
  </conditionalFormatting>
  <conditionalFormatting sqref="AG7:AG36">
    <cfRule type="cellIs" dxfId="32" priority="28" operator="equal">
      <formula>"A"</formula>
    </cfRule>
    <cfRule type="cellIs" dxfId="31" priority="29" operator="equal">
      <formula>"L"</formula>
    </cfRule>
    <cfRule type="cellIs" dxfId="30" priority="30" operator="equal">
      <formula>"P"</formula>
    </cfRule>
    <cfRule type="cellIs" dxfId="29" priority="31" operator="equal">
      <formula>"A"</formula>
    </cfRule>
    <cfRule type="cellIs" dxfId="28" priority="32" operator="equal">
      <formula>"L"</formula>
    </cfRule>
    <cfRule type="cellIs" dxfId="27" priority="33" operator="equal">
      <formula>"P"</formula>
    </cfRule>
  </conditionalFormatting>
  <conditionalFormatting sqref="E7:AI40">
    <cfRule type="cellIs" dxfId="26" priority="1" operator="equal">
      <formula>"H"</formula>
    </cfRule>
    <cfRule type="cellIs" dxfId="25" priority="27" operator="equal">
      <formula>"w"</formula>
    </cfRule>
  </conditionalFormatting>
  <conditionalFormatting sqref="E7:AI41">
    <cfRule type="cellIs" dxfId="24" priority="26" operator="equal">
      <formula>"W"</formula>
    </cfRule>
  </conditionalFormatting>
  <conditionalFormatting sqref="L7:L36">
    <cfRule type="cellIs" dxfId="23" priority="20" operator="equal">
      <formula>"A"</formula>
    </cfRule>
    <cfRule type="cellIs" dxfId="22" priority="21" operator="equal">
      <formula>"L"</formula>
    </cfRule>
    <cfRule type="cellIs" dxfId="21" priority="22" operator="equal">
      <formula>"P"</formula>
    </cfRule>
    <cfRule type="cellIs" dxfId="20" priority="23" operator="equal">
      <formula>"A"</formula>
    </cfRule>
    <cfRule type="cellIs" dxfId="19" priority="24" operator="equal">
      <formula>"L"</formula>
    </cfRule>
    <cfRule type="cellIs" dxfId="18" priority="25" operator="equal">
      <formula>"P"</formula>
    </cfRule>
  </conditionalFormatting>
  <conditionalFormatting sqref="S7:S36">
    <cfRule type="cellIs" dxfId="17" priority="14" operator="equal">
      <formula>"A"</formula>
    </cfRule>
    <cfRule type="cellIs" dxfId="16" priority="15" operator="equal">
      <formula>"L"</formula>
    </cfRule>
    <cfRule type="cellIs" dxfId="15" priority="16" operator="equal">
      <formula>"P"</formula>
    </cfRule>
    <cfRule type="cellIs" dxfId="14" priority="17" operator="equal">
      <formula>"A"</formula>
    </cfRule>
    <cfRule type="cellIs" dxfId="13" priority="18" operator="equal">
      <formula>"L"</formula>
    </cfRule>
    <cfRule type="cellIs" dxfId="12" priority="19" operator="equal">
      <formula>"P"</formula>
    </cfRule>
  </conditionalFormatting>
  <conditionalFormatting sqref="Z7:Z36">
    <cfRule type="cellIs" dxfId="11" priority="8" operator="equal">
      <formula>"A"</formula>
    </cfRule>
    <cfRule type="cellIs" dxfId="10" priority="9" operator="equal">
      <formula>"L"</formula>
    </cfRule>
    <cfRule type="cellIs" dxfId="9" priority="10" operator="equal">
      <formula>"P"</formula>
    </cfRule>
    <cfRule type="cellIs" dxfId="8" priority="11" operator="equal">
      <formula>"A"</formula>
    </cfRule>
    <cfRule type="cellIs" dxfId="7" priority="12" operator="equal">
      <formula>"L"</formula>
    </cfRule>
    <cfRule type="cellIs" dxfId="6" priority="13" operator="equal">
      <formula>"P"</formula>
    </cfRule>
  </conditionalFormatting>
  <conditionalFormatting sqref="AG7:AG36">
    <cfRule type="cellIs" dxfId="5" priority="2" operator="equal">
      <formula>"A"</formula>
    </cfRule>
    <cfRule type="cellIs" dxfId="4" priority="3" operator="equal">
      <formula>"L"</formula>
    </cfRule>
    <cfRule type="cellIs" dxfId="3" priority="4" operator="equal">
      <formula>"P"</formula>
    </cfRule>
    <cfRule type="cellIs" dxfId="2" priority="5" operator="equal">
      <formula>"A"</formula>
    </cfRule>
    <cfRule type="cellIs" dxfId="1" priority="6" operator="equal">
      <formula>"L"</formula>
    </cfRule>
    <cfRule type="cellIs" dxfId="0" priority="7" operator="equal">
      <formula>"P"</formula>
    </cfRule>
  </conditionalFormatting>
  <dataValidations count="1">
    <dataValidation type="list" allowBlank="1" showInputMessage="1" showErrorMessage="1" sqref="B2">
      <formula1>"1,2,3,4,5,6,7,8,9,10,11,12"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KULDEEP</cp:lastModifiedBy>
  <dcterms:created xsi:type="dcterms:W3CDTF">2024-12-26T06:44:58Z</dcterms:created>
  <dcterms:modified xsi:type="dcterms:W3CDTF">2025-11-11T10:43:43Z</dcterms:modified>
</cp:coreProperties>
</file>